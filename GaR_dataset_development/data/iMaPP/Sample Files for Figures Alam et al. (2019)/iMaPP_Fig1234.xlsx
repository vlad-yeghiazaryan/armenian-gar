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ml.chartshapes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Q:\DRAFTS\MP\iMaPP Database\2 iMaPP - Master\2022 update\3 Release\1 Files\"/>
    </mc:Choice>
  </mc:AlternateContent>
  <xr:revisionPtr revIDLastSave="0" documentId="14_{3BCF866D-B7F3-4D43-9292-F3EB16A520C9}" xr6:coauthVersionLast="47" xr6:coauthVersionMax="47" xr10:uidLastSave="{00000000-0000-0000-0000-000000000000}"/>
  <bookViews>
    <workbookView xWindow="-120" yWindow="-120" windowWidth="29040" windowHeight="15840" tabRatio="626" xr2:uid="{00000000-000D-0000-FFFF-FFFF00000000}"/>
  </bookViews>
  <sheets>
    <sheet name="Table of Contents" sheetId="18" r:id="rId1"/>
    <sheet name="Fig1" sheetId="7" r:id="rId2"/>
    <sheet name="Fig2" sheetId="8" r:id="rId3"/>
    <sheet name="Fig3" sheetId="10" r:id="rId4"/>
    <sheet name="Fig4" sheetId="23" r:id="rId5"/>
    <sheet name="AE_A" sheetId="5" r:id="rId6"/>
    <sheet name="EMDE_A" sheetId="4" r:id="rId7"/>
    <sheet name="ALL_A" sheetId="9" r:id="rId8"/>
    <sheet name="Act_AEEM" sheetId="12" r:id="rId9"/>
    <sheet name="Act_ALL" sheetId="11" r:id="rId10"/>
    <sheet name="Fig4_data" sheetId="24" r:id="rId11"/>
  </sheets>
  <definedNames>
    <definedName name="_xlnm._FilterDatabase" localSheetId="2" hidden="1">'Fig2'!$A$13:$R$14</definedName>
    <definedName name="_xlnm._FilterDatabase" localSheetId="3" hidden="1">'Fig3'!$B$12:$R$13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0" i="23" l="1"/>
  <c r="B130" i="23"/>
  <c r="A130" i="23"/>
  <c r="C129" i="23"/>
  <c r="B129" i="23"/>
  <c r="A129" i="23"/>
  <c r="C128" i="23"/>
  <c r="B128" i="23"/>
  <c r="A128" i="23"/>
  <c r="C127" i="23"/>
  <c r="B127" i="23"/>
  <c r="A127" i="23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B6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B5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B4" i="8"/>
  <c r="I34" i="7"/>
  <c r="H34" i="7"/>
  <c r="G34" i="7"/>
  <c r="F34" i="7"/>
  <c r="E34" i="7"/>
  <c r="D34" i="7"/>
  <c r="A34" i="7"/>
  <c r="C34" i="7" s="1"/>
  <c r="C126" i="23"/>
  <c r="B126" i="23"/>
  <c r="A126" i="23"/>
  <c r="C125" i="23"/>
  <c r="B125" i="23"/>
  <c r="A125" i="23"/>
  <c r="C124" i="23"/>
  <c r="B124" i="23"/>
  <c r="A124" i="23"/>
  <c r="C123" i="23"/>
  <c r="B123" i="23"/>
  <c r="A123" i="23"/>
  <c r="C122" i="23"/>
  <c r="B122" i="23"/>
  <c r="A122" i="23"/>
  <c r="C121" i="23"/>
  <c r="B121" i="23"/>
  <c r="A121" i="23"/>
  <c r="C120" i="23"/>
  <c r="B120" i="23"/>
  <c r="A120" i="23"/>
  <c r="C119" i="23"/>
  <c r="B119" i="23"/>
  <c r="A119" i="23"/>
  <c r="C118" i="23"/>
  <c r="B118" i="23"/>
  <c r="A118" i="23"/>
  <c r="C117" i="23"/>
  <c r="B117" i="23"/>
  <c r="A117" i="23"/>
  <c r="C116" i="23"/>
  <c r="B116" i="23"/>
  <c r="A116" i="23"/>
  <c r="C115" i="23"/>
  <c r="B115" i="23"/>
  <c r="A115" i="23"/>
  <c r="C114" i="23"/>
  <c r="B114" i="23"/>
  <c r="A114" i="23"/>
  <c r="C113" i="23"/>
  <c r="B113" i="23"/>
  <c r="A113" i="23"/>
  <c r="C112" i="23"/>
  <c r="B112" i="23"/>
  <c r="A112" i="23"/>
  <c r="C111" i="23"/>
  <c r="B111" i="23"/>
  <c r="A111" i="23"/>
  <c r="C110" i="23"/>
  <c r="B110" i="23"/>
  <c r="A110" i="23"/>
  <c r="C109" i="23"/>
  <c r="B109" i="23"/>
  <c r="A109" i="23"/>
  <c r="C108" i="23"/>
  <c r="B108" i="23"/>
  <c r="A108" i="23"/>
  <c r="C107" i="23"/>
  <c r="B107" i="23"/>
  <c r="A107" i="23"/>
  <c r="C106" i="23"/>
  <c r="B106" i="23"/>
  <c r="A106" i="23"/>
  <c r="C105" i="23"/>
  <c r="B105" i="23"/>
  <c r="A105" i="23"/>
  <c r="C104" i="23"/>
  <c r="B104" i="23"/>
  <c r="A104" i="23"/>
  <c r="C103" i="23"/>
  <c r="B103" i="23"/>
  <c r="A103" i="23"/>
  <c r="C102" i="23"/>
  <c r="B102" i="23"/>
  <c r="A102" i="23"/>
  <c r="C101" i="23"/>
  <c r="B101" i="23"/>
  <c r="A101" i="23"/>
  <c r="C100" i="23"/>
  <c r="B100" i="23"/>
  <c r="A100" i="23"/>
  <c r="C99" i="23"/>
  <c r="B99" i="23"/>
  <c r="A99" i="23"/>
  <c r="C98" i="23"/>
  <c r="B98" i="23"/>
  <c r="A98" i="23"/>
  <c r="C97" i="23"/>
  <c r="B97" i="23"/>
  <c r="A97" i="23"/>
  <c r="C96" i="23"/>
  <c r="B96" i="23"/>
  <c r="A96" i="23"/>
  <c r="C95" i="23"/>
  <c r="B95" i="23"/>
  <c r="A95" i="23"/>
  <c r="C94" i="23"/>
  <c r="B94" i="23"/>
  <c r="A94" i="23"/>
  <c r="C93" i="23"/>
  <c r="B93" i="23"/>
  <c r="A93" i="23"/>
  <c r="C92" i="23"/>
  <c r="B92" i="23"/>
  <c r="A92" i="23"/>
  <c r="C91" i="23"/>
  <c r="B91" i="23"/>
  <c r="A91" i="23"/>
  <c r="C90" i="23"/>
  <c r="B90" i="23"/>
  <c r="A90" i="23"/>
  <c r="C89" i="23"/>
  <c r="B89" i="23"/>
  <c r="A89" i="23"/>
  <c r="C88" i="23"/>
  <c r="B88" i="23"/>
  <c r="A88" i="23"/>
  <c r="C87" i="23"/>
  <c r="B87" i="23"/>
  <c r="A87" i="23"/>
  <c r="C86" i="23"/>
  <c r="B86" i="23"/>
  <c r="A86" i="23"/>
  <c r="C85" i="23"/>
  <c r="B85" i="23"/>
  <c r="A85" i="23"/>
  <c r="C84" i="23"/>
  <c r="B84" i="23"/>
  <c r="A84" i="23"/>
  <c r="C83" i="23"/>
  <c r="B83" i="23"/>
  <c r="A83" i="23"/>
  <c r="C82" i="23"/>
  <c r="B82" i="23"/>
  <c r="A82" i="23"/>
  <c r="C81" i="23"/>
  <c r="B81" i="23"/>
  <c r="A81" i="23"/>
  <c r="C80" i="23"/>
  <c r="B80" i="23"/>
  <c r="A80" i="23"/>
  <c r="C79" i="23"/>
  <c r="B79" i="23"/>
  <c r="A79" i="23"/>
  <c r="C78" i="23"/>
  <c r="B78" i="23"/>
  <c r="A78" i="23"/>
  <c r="C77" i="23"/>
  <c r="B77" i="23"/>
  <c r="A77" i="23"/>
  <c r="C76" i="23"/>
  <c r="B76" i="23"/>
  <c r="A76" i="23"/>
  <c r="C75" i="23"/>
  <c r="B75" i="23"/>
  <c r="A75" i="23"/>
  <c r="C74" i="23"/>
  <c r="B74" i="23"/>
  <c r="A74" i="23"/>
  <c r="C73" i="23"/>
  <c r="B73" i="23"/>
  <c r="A73" i="23"/>
  <c r="C72" i="23"/>
  <c r="B72" i="23"/>
  <c r="A72" i="23"/>
  <c r="C71" i="23"/>
  <c r="B71" i="23"/>
  <c r="A71" i="23"/>
  <c r="C70" i="23"/>
  <c r="B70" i="23"/>
  <c r="A70" i="23"/>
  <c r="C69" i="23"/>
  <c r="B69" i="23"/>
  <c r="A69" i="23"/>
  <c r="C68" i="23"/>
  <c r="B68" i="23"/>
  <c r="A68" i="23"/>
  <c r="C67" i="23"/>
  <c r="B67" i="23"/>
  <c r="A67" i="23"/>
  <c r="C66" i="23"/>
  <c r="B66" i="23"/>
  <c r="A66" i="23"/>
  <c r="C65" i="23"/>
  <c r="B65" i="23"/>
  <c r="A65" i="23"/>
  <c r="C64" i="23"/>
  <c r="B64" i="23"/>
  <c r="A64" i="23"/>
  <c r="C63" i="23"/>
  <c r="B63" i="23"/>
  <c r="A63" i="23"/>
  <c r="C62" i="23"/>
  <c r="B62" i="23"/>
  <c r="A62" i="23"/>
  <c r="C61" i="23"/>
  <c r="B61" i="23"/>
  <c r="A61" i="23"/>
  <c r="C60" i="23"/>
  <c r="B60" i="23"/>
  <c r="A60" i="23"/>
  <c r="C59" i="23"/>
  <c r="B59" i="23"/>
  <c r="A59" i="23"/>
  <c r="C58" i="23"/>
  <c r="B58" i="23"/>
  <c r="A58" i="23"/>
  <c r="C57" i="23"/>
  <c r="B57" i="23"/>
  <c r="A57" i="23"/>
  <c r="C56" i="23"/>
  <c r="B56" i="23"/>
  <c r="A56" i="23"/>
  <c r="C55" i="23"/>
  <c r="B55" i="23"/>
  <c r="A55" i="23"/>
  <c r="C54" i="23"/>
  <c r="B54" i="23"/>
  <c r="A54" i="23"/>
  <c r="C53" i="23"/>
  <c r="B53" i="23"/>
  <c r="A53" i="23"/>
  <c r="C52" i="23"/>
  <c r="B52" i="23"/>
  <c r="A52" i="23"/>
  <c r="C51" i="23"/>
  <c r="B51" i="23"/>
  <c r="A51" i="23"/>
  <c r="C50" i="23"/>
  <c r="B50" i="23"/>
  <c r="A50" i="23"/>
  <c r="C49" i="23"/>
  <c r="B49" i="23"/>
  <c r="A49" i="23"/>
  <c r="C48" i="23"/>
  <c r="B48" i="23"/>
  <c r="A48" i="23"/>
  <c r="C47" i="23"/>
  <c r="B47" i="23"/>
  <c r="A47" i="23"/>
  <c r="C46" i="23"/>
  <c r="B46" i="23"/>
  <c r="A46" i="23"/>
  <c r="C45" i="23"/>
  <c r="B45" i="23"/>
  <c r="A45" i="23"/>
  <c r="C44" i="23"/>
  <c r="B44" i="23"/>
  <c r="A44" i="23"/>
  <c r="C43" i="23"/>
  <c r="B43" i="23"/>
  <c r="A43" i="23"/>
  <c r="C42" i="23"/>
  <c r="B42" i="23"/>
  <c r="A42" i="23"/>
  <c r="C41" i="23"/>
  <c r="B41" i="23"/>
  <c r="A41" i="23"/>
  <c r="C40" i="23"/>
  <c r="B40" i="23"/>
  <c r="A40" i="23"/>
  <c r="C39" i="23"/>
  <c r="B39" i="23"/>
  <c r="A39" i="23"/>
  <c r="C38" i="23"/>
  <c r="B38" i="23"/>
  <c r="A38" i="23"/>
  <c r="C37" i="23"/>
  <c r="B37" i="23"/>
  <c r="A37" i="23"/>
  <c r="C36" i="23"/>
  <c r="B36" i="23"/>
  <c r="A36" i="23"/>
  <c r="C35" i="23"/>
  <c r="B35" i="23"/>
  <c r="A35" i="23"/>
  <c r="C34" i="23"/>
  <c r="B34" i="23"/>
  <c r="A34" i="23"/>
  <c r="C33" i="23"/>
  <c r="B33" i="23"/>
  <c r="A33" i="23"/>
  <c r="C32" i="23"/>
  <c r="B32" i="23"/>
  <c r="A32" i="23"/>
  <c r="C31" i="23"/>
  <c r="B31" i="23"/>
  <c r="A31" i="23"/>
  <c r="C30" i="23"/>
  <c r="B30" i="23"/>
  <c r="A30" i="23"/>
  <c r="C29" i="23"/>
  <c r="B29" i="23"/>
  <c r="A29" i="23"/>
  <c r="C28" i="23"/>
  <c r="B28" i="23"/>
  <c r="A28" i="23"/>
  <c r="C27" i="23"/>
  <c r="B27" i="23"/>
  <c r="A27" i="23"/>
  <c r="C26" i="23"/>
  <c r="B26" i="23"/>
  <c r="A26" i="23"/>
  <c r="C25" i="23"/>
  <c r="B25" i="23"/>
  <c r="A25" i="23"/>
  <c r="C24" i="23"/>
  <c r="B24" i="23"/>
  <c r="A24" i="23"/>
  <c r="C23" i="23"/>
  <c r="B23" i="23"/>
  <c r="A23" i="23"/>
  <c r="C22" i="23"/>
  <c r="B22" i="23"/>
  <c r="A22" i="23"/>
  <c r="C21" i="23"/>
  <c r="B21" i="23"/>
  <c r="A21" i="23"/>
  <c r="C20" i="23"/>
  <c r="B20" i="23"/>
  <c r="A20" i="23"/>
  <c r="C19" i="23"/>
  <c r="B19" i="23"/>
  <c r="A19" i="23"/>
  <c r="C18" i="23"/>
  <c r="B18" i="23"/>
  <c r="A18" i="23"/>
  <c r="C17" i="23"/>
  <c r="B17" i="23"/>
  <c r="A17" i="23"/>
  <c r="C16" i="23"/>
  <c r="B16" i="23"/>
  <c r="A16" i="23"/>
  <c r="C15" i="23"/>
  <c r="B15" i="23"/>
  <c r="A15" i="23"/>
  <c r="C14" i="23"/>
  <c r="B14" i="23"/>
  <c r="A14" i="23"/>
  <c r="C13" i="23"/>
  <c r="B13" i="23"/>
  <c r="A13" i="23"/>
  <c r="C12" i="23"/>
  <c r="B12" i="23"/>
  <c r="A12" i="23"/>
  <c r="C11" i="23"/>
  <c r="B11" i="23"/>
  <c r="A11" i="23"/>
  <c r="C10" i="23"/>
  <c r="B10" i="23"/>
  <c r="A10" i="23"/>
  <c r="C9" i="23"/>
  <c r="B9" i="23"/>
  <c r="A9" i="23"/>
  <c r="C8" i="23"/>
  <c r="B8" i="23"/>
  <c r="A8" i="23"/>
  <c r="C7" i="23"/>
  <c r="B7" i="23"/>
  <c r="A7" i="23"/>
  <c r="C6" i="23"/>
  <c r="B6" i="23"/>
  <c r="A6" i="23"/>
  <c r="C5" i="23"/>
  <c r="B5" i="23"/>
  <c r="A5" i="23"/>
  <c r="C4" i="23"/>
  <c r="B4" i="23"/>
  <c r="A4" i="23"/>
  <c r="C3" i="23"/>
  <c r="B3" i="23"/>
  <c r="A3" i="23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B6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B5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S2" i="10"/>
  <c r="R2" i="10"/>
  <c r="Q2" i="10"/>
  <c r="P2" i="10"/>
  <c r="O2" i="10"/>
  <c r="N2" i="10"/>
  <c r="M2" i="10"/>
  <c r="L2" i="10"/>
  <c r="K2" i="10"/>
  <c r="J2" i="10"/>
  <c r="I2" i="10"/>
  <c r="H2" i="10"/>
  <c r="G2" i="10"/>
  <c r="F2" i="10"/>
  <c r="E2" i="10"/>
  <c r="D2" i="10"/>
  <c r="C2" i="10"/>
  <c r="B2" i="10"/>
  <c r="R2" i="8"/>
  <c r="Q2" i="8"/>
  <c r="P2" i="8"/>
  <c r="O2" i="8"/>
  <c r="N2" i="8"/>
  <c r="M2" i="8"/>
  <c r="L2" i="8"/>
  <c r="K2" i="8"/>
  <c r="J2" i="8"/>
  <c r="I2" i="8"/>
  <c r="H2" i="8"/>
  <c r="G2" i="8"/>
  <c r="F2" i="8"/>
  <c r="E2" i="8"/>
  <c r="D2" i="8"/>
  <c r="C2" i="8"/>
  <c r="B2" i="8"/>
  <c r="H33" i="7"/>
  <c r="G33" i="7"/>
  <c r="F33" i="7"/>
  <c r="E33" i="7"/>
  <c r="I33" i="7" s="1"/>
  <c r="D33" i="7"/>
  <c r="A33" i="7"/>
  <c r="C33" i="7" s="1"/>
  <c r="H32" i="7"/>
  <c r="G32" i="7"/>
  <c r="F32" i="7"/>
  <c r="E32" i="7"/>
  <c r="I32" i="7" s="1"/>
  <c r="D32" i="7"/>
  <c r="A32" i="7"/>
  <c r="C32" i="7" s="1"/>
  <c r="H31" i="7"/>
  <c r="G31" i="7"/>
  <c r="F31" i="7"/>
  <c r="E31" i="7"/>
  <c r="I31" i="7" s="1"/>
  <c r="D31" i="7"/>
  <c r="A31" i="7"/>
  <c r="C31" i="7" s="1"/>
  <c r="H30" i="7"/>
  <c r="G30" i="7"/>
  <c r="F30" i="7"/>
  <c r="E30" i="7"/>
  <c r="I30" i="7" s="1"/>
  <c r="D30" i="7"/>
  <c r="A30" i="7"/>
  <c r="C30" i="7" s="1"/>
  <c r="H29" i="7"/>
  <c r="G29" i="7"/>
  <c r="F29" i="7"/>
  <c r="E29" i="7"/>
  <c r="I29" i="7" s="1"/>
  <c r="D29" i="7"/>
  <c r="A29" i="7"/>
  <c r="C29" i="7" s="1"/>
  <c r="H28" i="7"/>
  <c r="G28" i="7"/>
  <c r="F28" i="7"/>
  <c r="E28" i="7"/>
  <c r="I28" i="7" s="1"/>
  <c r="D28" i="7"/>
  <c r="A28" i="7"/>
  <c r="C28" i="7" s="1"/>
  <c r="H27" i="7"/>
  <c r="G27" i="7"/>
  <c r="F27" i="7"/>
  <c r="E27" i="7"/>
  <c r="I27" i="7" s="1"/>
  <c r="D27" i="7"/>
  <c r="A27" i="7"/>
  <c r="C27" i="7" s="1"/>
  <c r="H26" i="7"/>
  <c r="G26" i="7"/>
  <c r="F26" i="7"/>
  <c r="E26" i="7"/>
  <c r="I26" i="7" s="1"/>
  <c r="D26" i="7"/>
  <c r="A26" i="7"/>
  <c r="C26" i="7" s="1"/>
  <c r="H25" i="7"/>
  <c r="G25" i="7"/>
  <c r="F25" i="7"/>
  <c r="E25" i="7"/>
  <c r="I25" i="7" s="1"/>
  <c r="D25" i="7"/>
  <c r="A25" i="7"/>
  <c r="C25" i="7" s="1"/>
  <c r="H24" i="7"/>
  <c r="G24" i="7"/>
  <c r="F24" i="7"/>
  <c r="E24" i="7"/>
  <c r="I24" i="7" s="1"/>
  <c r="D24" i="7"/>
  <c r="A24" i="7"/>
  <c r="C24" i="7" s="1"/>
  <c r="H23" i="7"/>
  <c r="G23" i="7"/>
  <c r="F23" i="7"/>
  <c r="E23" i="7"/>
  <c r="I23" i="7" s="1"/>
  <c r="D23" i="7"/>
  <c r="A23" i="7"/>
  <c r="C23" i="7" s="1"/>
  <c r="H22" i="7"/>
  <c r="G22" i="7"/>
  <c r="F22" i="7"/>
  <c r="E22" i="7"/>
  <c r="I22" i="7" s="1"/>
  <c r="D22" i="7"/>
  <c r="A22" i="7"/>
  <c r="C22" i="7" s="1"/>
  <c r="H21" i="7"/>
  <c r="G21" i="7"/>
  <c r="F21" i="7"/>
  <c r="E21" i="7"/>
  <c r="I21" i="7" s="1"/>
  <c r="D21" i="7"/>
  <c r="A21" i="7"/>
  <c r="C21" i="7" s="1"/>
  <c r="H20" i="7"/>
  <c r="G20" i="7"/>
  <c r="F20" i="7"/>
  <c r="E20" i="7"/>
  <c r="I20" i="7" s="1"/>
  <c r="D20" i="7"/>
  <c r="A20" i="7"/>
  <c r="C20" i="7" s="1"/>
  <c r="H19" i="7"/>
  <c r="G19" i="7"/>
  <c r="F19" i="7"/>
  <c r="E19" i="7"/>
  <c r="I19" i="7" s="1"/>
  <c r="D19" i="7"/>
  <c r="A19" i="7"/>
  <c r="C19" i="7" s="1"/>
  <c r="H18" i="7"/>
  <c r="G18" i="7"/>
  <c r="F18" i="7"/>
  <c r="E18" i="7"/>
  <c r="I18" i="7" s="1"/>
  <c r="D18" i="7"/>
  <c r="A18" i="7"/>
  <c r="C18" i="7" s="1"/>
  <c r="H17" i="7"/>
  <c r="G17" i="7"/>
  <c r="F17" i="7"/>
  <c r="E17" i="7"/>
  <c r="I17" i="7" s="1"/>
  <c r="D17" i="7"/>
  <c r="A17" i="7"/>
  <c r="C17" i="7" s="1"/>
  <c r="H16" i="7"/>
  <c r="G16" i="7"/>
  <c r="F16" i="7"/>
  <c r="E16" i="7"/>
  <c r="I16" i="7" s="1"/>
  <c r="D16" i="7"/>
  <c r="A16" i="7"/>
  <c r="C16" i="7" s="1"/>
  <c r="H15" i="7"/>
  <c r="G15" i="7"/>
  <c r="F15" i="7"/>
  <c r="E15" i="7"/>
  <c r="I15" i="7" s="1"/>
  <c r="D15" i="7"/>
  <c r="A15" i="7"/>
  <c r="C15" i="7" s="1"/>
  <c r="H14" i="7"/>
  <c r="G14" i="7"/>
  <c r="F14" i="7"/>
  <c r="E14" i="7"/>
  <c r="I14" i="7" s="1"/>
  <c r="D14" i="7"/>
  <c r="A14" i="7"/>
  <c r="C14" i="7" s="1"/>
  <c r="H13" i="7"/>
  <c r="G13" i="7"/>
  <c r="F13" i="7"/>
  <c r="E13" i="7"/>
  <c r="I13" i="7" s="1"/>
  <c r="D13" i="7"/>
  <c r="A13" i="7"/>
  <c r="C13" i="7" s="1"/>
  <c r="H12" i="7"/>
  <c r="G12" i="7"/>
  <c r="F12" i="7"/>
  <c r="E12" i="7"/>
  <c r="I12" i="7" s="1"/>
  <c r="D12" i="7"/>
  <c r="A12" i="7"/>
  <c r="C12" i="7" s="1"/>
  <c r="H11" i="7"/>
  <c r="G11" i="7"/>
  <c r="F11" i="7"/>
  <c r="E11" i="7"/>
  <c r="I11" i="7" s="1"/>
  <c r="D11" i="7"/>
  <c r="A11" i="7"/>
  <c r="C11" i="7" s="1"/>
  <c r="H10" i="7"/>
  <c r="G10" i="7"/>
  <c r="F10" i="7"/>
  <c r="E10" i="7"/>
  <c r="I10" i="7" s="1"/>
  <c r="D10" i="7"/>
  <c r="A10" i="7"/>
  <c r="C10" i="7" s="1"/>
  <c r="H9" i="7"/>
  <c r="G9" i="7"/>
  <c r="F9" i="7"/>
  <c r="E9" i="7"/>
  <c r="I9" i="7" s="1"/>
  <c r="D9" i="7"/>
  <c r="A9" i="7"/>
  <c r="C9" i="7" s="1"/>
  <c r="H8" i="7"/>
  <c r="G8" i="7"/>
  <c r="F8" i="7"/>
  <c r="E8" i="7"/>
  <c r="I8" i="7" s="1"/>
  <c r="D8" i="7"/>
  <c r="A8" i="7"/>
  <c r="C8" i="7" s="1"/>
  <c r="H7" i="7"/>
  <c r="G7" i="7"/>
  <c r="F7" i="7"/>
  <c r="E7" i="7"/>
  <c r="I7" i="7" s="1"/>
  <c r="D7" i="7"/>
  <c r="A7" i="7"/>
  <c r="C7" i="7" s="1"/>
  <c r="H6" i="7"/>
  <c r="G6" i="7"/>
  <c r="F6" i="7"/>
  <c r="E6" i="7"/>
  <c r="I6" i="7" s="1"/>
  <c r="D6" i="7"/>
  <c r="A6" i="7"/>
  <c r="C6" i="7" s="1"/>
  <c r="H5" i="7"/>
  <c r="G5" i="7"/>
  <c r="F5" i="7"/>
  <c r="E5" i="7"/>
  <c r="I5" i="7" s="1"/>
  <c r="D5" i="7"/>
  <c r="A5" i="7"/>
  <c r="C5" i="7" s="1"/>
  <c r="H4" i="7"/>
  <c r="G4" i="7"/>
  <c r="F4" i="7"/>
  <c r="E4" i="7"/>
  <c r="I4" i="7" s="1"/>
  <c r="D4" i="7"/>
  <c r="A4" i="7"/>
  <c r="C4" i="7" s="1"/>
  <c r="G3" i="7"/>
  <c r="F3" i="7"/>
  <c r="E3" i="7"/>
  <c r="D3" i="7"/>
  <c r="C3" i="7"/>
  <c r="A3" i="7"/>
</calcChain>
</file>

<file path=xl/sharedStrings.xml><?xml version="1.0" encoding="utf-8"?>
<sst xmlns="http://schemas.openxmlformats.org/spreadsheetml/2006/main" count="332" uniqueCount="164">
  <si>
    <t>AE</t>
  </si>
  <si>
    <t>EMDE</t>
  </si>
  <si>
    <t>Number</t>
  </si>
  <si>
    <t>M12</t>
  </si>
  <si>
    <t>N_AE</t>
  </si>
  <si>
    <t>N_EMDE</t>
  </si>
  <si>
    <t>Conservation</t>
  </si>
  <si>
    <t>LTV</t>
  </si>
  <si>
    <t>Provisions</t>
  </si>
  <si>
    <t>Capital</t>
  </si>
  <si>
    <t>Leverage</t>
  </si>
  <si>
    <t>DSTI</t>
  </si>
  <si>
    <t>Credit growth</t>
  </si>
  <si>
    <t>LoanR</t>
  </si>
  <si>
    <t>FX loan</t>
  </si>
  <si>
    <t>Tax</t>
  </si>
  <si>
    <t>Liquidity</t>
  </si>
  <si>
    <t>Loan to deposit</t>
  </si>
  <si>
    <t>FX position</t>
  </si>
  <si>
    <t>Reserve Req.</t>
  </si>
  <si>
    <t>SIFI</t>
  </si>
  <si>
    <t>Other</t>
  </si>
  <si>
    <t>All</t>
  </si>
  <si>
    <t>CCB</t>
  </si>
  <si>
    <t>AE_A</t>
  </si>
  <si>
    <t>Fig1</t>
  </si>
  <si>
    <t>EMDE_A</t>
  </si>
  <si>
    <t>Fig2</t>
  </si>
  <si>
    <t>ALL_A</t>
  </si>
  <si>
    <t>Act_AEEM</t>
  </si>
  <si>
    <t>Fig3</t>
  </si>
  <si>
    <t>Act_ALL</t>
  </si>
  <si>
    <t>Tab Name</t>
  </si>
  <si>
    <t>Tab Description</t>
  </si>
  <si>
    <r>
      <t xml:space="preserve">Data sheet for Fig1 and Fig 2, generated by </t>
    </r>
    <r>
      <rPr>
        <b/>
        <sz val="11"/>
        <rFont val="Calibri"/>
        <family val="2"/>
      </rPr>
      <t>iMaPP_Fig123.do</t>
    </r>
  </si>
  <si>
    <r>
      <t xml:space="preserve">Data sheet for Fig 2, generated by </t>
    </r>
    <r>
      <rPr>
        <b/>
        <sz val="11"/>
        <rFont val="Calibri"/>
        <family val="2"/>
      </rPr>
      <t>iMaPP_Fig123.do</t>
    </r>
  </si>
  <si>
    <r>
      <t xml:space="preserve">Data sheet for Fig 3, generated by </t>
    </r>
    <r>
      <rPr>
        <b/>
        <sz val="11"/>
        <rFont val="Calibri"/>
        <family val="2"/>
      </rPr>
      <t>iMaPP_Fig123.do</t>
    </r>
  </si>
  <si>
    <t>Number of economies that have used macroprudential policy (c.f., Figure 1 of Alam et al. 2019)</t>
  </si>
  <si>
    <t>Frequency of adjustments by instrument (c.f., Figure 3 of Alam et al. 2019)</t>
  </si>
  <si>
    <t>Fig4</t>
  </si>
  <si>
    <t>Fig4_data</t>
  </si>
  <si>
    <t>Figure 4</t>
  </si>
  <si>
    <t>Advanced Economies</t>
  </si>
  <si>
    <t>Emerging Market and Developing Economies</t>
  </si>
  <si>
    <t xml:space="preserve">, </t>
  </si>
  <si>
    <t>Usage of macroprudential policies over time (c.f., Figure 4 of Alam et al. 2019)</t>
  </si>
  <si>
    <r>
      <t xml:space="preserve">Data sheet for Fig4, generated by </t>
    </r>
    <r>
      <rPr>
        <b/>
        <sz val="11"/>
        <rFont val="Calibri"/>
        <family val="2"/>
      </rPr>
      <t>iMaPP_Fig4.do</t>
    </r>
  </si>
  <si>
    <r>
      <rPr>
        <b/>
        <sz val="11"/>
        <rFont val="Calibri"/>
        <family val="2"/>
      </rPr>
      <t>Reference:</t>
    </r>
    <r>
      <rPr>
        <sz val="11"/>
        <rFont val="Calibri"/>
        <family val="2"/>
      </rPr>
      <t xml:space="preserve"> Alam, Zohair, Adrian Alter, Jesse Eiseman, Gaston Gelos, Heedon Kang, Machiko Narita, Erlend Nier, and Naixi Wang, 2019, "Digging Deeper – Evidence on the Effects of Macroprudential Policies from a New Database" IMF Working Paper WP/19/66.</t>
    </r>
  </si>
  <si>
    <r>
      <rPr>
        <b/>
        <sz val="11"/>
        <rFont val="Calibri"/>
        <family val="2"/>
      </rPr>
      <t>Available at:</t>
    </r>
    <r>
      <rPr>
        <sz val="11"/>
        <rFont val="Calibri"/>
        <family val="2"/>
      </rPr>
      <t xml:space="preserve"> </t>
    </r>
  </si>
  <si>
    <t>Fig1234.xlsx</t>
  </si>
  <si>
    <t>Back to TOC</t>
  </si>
  <si>
    <t>www.elibrary-areaer.imf.org/Macroprudential/Pages/iMaPPDatabase.aspx</t>
  </si>
  <si>
    <r>
      <rPr>
        <b/>
        <sz val="11"/>
        <rFont val="Calibri"/>
        <family val="2"/>
      </rPr>
      <t>Notes:</t>
    </r>
    <r>
      <rPr>
        <sz val="11"/>
        <rFont val="Calibri"/>
        <family val="2"/>
      </rPr>
      <t xml:space="preserve"> This Excel file demonstrates how to generate charts on the use of macroprudential policy, similar to Figure 1, 2, 3, and 4 of Alam et al. (2019), using the latest iMaPP database. Please note that this file does not replicate Figure 4 due to a different selection of the sample countries. Possible errors are those of the authors.</t>
    </r>
  </si>
  <si>
    <t>Ranking of the top-used instruments (c.f., Figure 2 of Alam et al. 2019)</t>
  </si>
  <si>
    <t>Sorted by average number of actions per year</t>
  </si>
  <si>
    <t>Sorted by the number of countries that have ever used the specified instrument</t>
  </si>
  <si>
    <t>Year</t>
  </si>
  <si>
    <t>N</t>
  </si>
  <si>
    <t>MaPP16_use</t>
  </si>
  <si>
    <t>MaPP17_use</t>
  </si>
  <si>
    <t>CCB_use</t>
  </si>
  <si>
    <t>Conservation_use</t>
  </si>
  <si>
    <t>LVR_use</t>
  </si>
  <si>
    <t>LLP_use</t>
  </si>
  <si>
    <t>Capital_use</t>
  </si>
  <si>
    <t>LTV_use</t>
  </si>
  <si>
    <t>DSTI_use</t>
  </si>
  <si>
    <t>LCG_use</t>
  </si>
  <si>
    <t>LoanR_use</t>
  </si>
  <si>
    <t>LFC_use</t>
  </si>
  <si>
    <t>Tax_use</t>
  </si>
  <si>
    <t>Liquidity_use</t>
  </si>
  <si>
    <t>LTD_use</t>
  </si>
  <si>
    <t>LFX_use</t>
  </si>
  <si>
    <t>RR_use</t>
  </si>
  <si>
    <t>SIFI_use</t>
  </si>
  <si>
    <t>OT_use</t>
  </si>
  <si>
    <t>Year</t>
  </si>
  <si>
    <t>N0</t>
  </si>
  <si>
    <t>MaPP16_use0</t>
  </si>
  <si>
    <t>MaPP17_use0</t>
  </si>
  <si>
    <t>CCB_use0</t>
  </si>
  <si>
    <t>Conservation_use0</t>
  </si>
  <si>
    <t>LVR_use0</t>
  </si>
  <si>
    <t>LLP_use0</t>
  </si>
  <si>
    <t>Capital_use0</t>
  </si>
  <si>
    <t>LTV_use0</t>
  </si>
  <si>
    <t>DSTI_use0</t>
  </si>
  <si>
    <t>LCG_use0</t>
  </si>
  <si>
    <t>LoanR_use0</t>
  </si>
  <si>
    <t>LFC_use0</t>
  </si>
  <si>
    <t>Tax_use0</t>
  </si>
  <si>
    <t>Liquidity_use0</t>
  </si>
  <si>
    <t>LTD_use0</t>
  </si>
  <si>
    <t>LFX_use0</t>
  </si>
  <si>
    <t>RR_use0</t>
  </si>
  <si>
    <t>SIFI_use0</t>
  </si>
  <si>
    <t>OT_use0</t>
  </si>
  <si>
    <t>Year</t>
  </si>
  <si>
    <t>N1</t>
  </si>
  <si>
    <t>MaPP16_use1</t>
  </si>
  <si>
    <t>MaPP17_use1</t>
  </si>
  <si>
    <t>CCB_use1</t>
  </si>
  <si>
    <t>Conservation_use1</t>
  </si>
  <si>
    <t>LVR_use1</t>
  </si>
  <si>
    <t>LLP_use1</t>
  </si>
  <si>
    <t>Capital_use1</t>
  </si>
  <si>
    <t>LTV_use1</t>
  </si>
  <si>
    <t>DSTI_use1</t>
  </si>
  <si>
    <t>LCG_use1</t>
  </si>
  <si>
    <t>LoanR_use1</t>
  </si>
  <si>
    <t>LFC_use1</t>
  </si>
  <si>
    <t>Tax_use1</t>
  </si>
  <si>
    <t>Liquidity_use1</t>
  </si>
  <si>
    <t>LTD_use1</t>
  </si>
  <si>
    <t>LFX_use1</t>
  </si>
  <si>
    <t>RR_use1</t>
  </si>
  <si>
    <t>SIFI_use1</t>
  </si>
  <si>
    <t>OT_use1</t>
  </si>
  <si>
    <t>N</t>
  </si>
  <si>
    <t>CCB_act</t>
  </si>
  <si>
    <t>Conservation_act</t>
  </si>
  <si>
    <t>LVR_act</t>
  </si>
  <si>
    <t>LLP_act</t>
  </si>
  <si>
    <t>Capital_act</t>
  </si>
  <si>
    <t>LTV_act</t>
  </si>
  <si>
    <t>DSTI_act</t>
  </si>
  <si>
    <t>LCG_act</t>
  </si>
  <si>
    <t>LoanR_act</t>
  </si>
  <si>
    <t>LFC_act</t>
  </si>
  <si>
    <t>Tax_act</t>
  </si>
  <si>
    <t>Liquidity_act</t>
  </si>
  <si>
    <t>LTD_act</t>
  </si>
  <si>
    <t>LFX_act</t>
  </si>
  <si>
    <t>RR_act</t>
  </si>
  <si>
    <t>SIFI_act</t>
  </si>
  <si>
    <t>OT_act</t>
  </si>
  <si>
    <t>SUM_17_act</t>
  </si>
  <si>
    <t>AE</t>
  </si>
  <si>
    <t>N</t>
  </si>
  <si>
    <t>CCB_act</t>
  </si>
  <si>
    <t>Conservation_act</t>
  </si>
  <si>
    <t>LVR_act</t>
  </si>
  <si>
    <t>LLP_act</t>
  </si>
  <si>
    <t>Capital_act</t>
  </si>
  <si>
    <t>LTV_act</t>
  </si>
  <si>
    <t>DSTI_act</t>
  </si>
  <si>
    <t>LCG_act</t>
  </si>
  <si>
    <t>LoanR_act</t>
  </si>
  <si>
    <t>LFC_act</t>
  </si>
  <si>
    <t>Tax_act</t>
  </si>
  <si>
    <t>Liquidity_act</t>
  </si>
  <si>
    <t>LTD_act</t>
  </si>
  <si>
    <t>LFX_act</t>
  </si>
  <si>
    <t>RR_act</t>
  </si>
  <si>
    <t>SIFI_act</t>
  </si>
  <si>
    <t>OT_act</t>
  </si>
  <si>
    <t>SUM_17_act</t>
  </si>
  <si>
    <t>dateq</t>
  </si>
  <si>
    <t>allsum_AE</t>
  </si>
  <si>
    <t>allsum_EM</t>
  </si>
  <si>
    <t>Top-used instruments as of 2021M12</t>
  </si>
  <si>
    <t>Frequently-adjusted instruments (2010M1-2021M12)</t>
  </si>
  <si>
    <t>Last updated: April 13,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</si>
</sst>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1"/>
      <name val="Calibri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0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b/>
      <sz val="10"/>
      <color rgb="FFFF0000"/>
      <name val="Calibri"/>
      <family val="2"/>
    </font>
    <font>
      <sz val="11"/>
      <color theme="1"/>
      <name val="Calibri"/>
      <family val="2"/>
    </font>
    <font>
      <sz val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79995117038483843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9">
    <xf numFmtId="0" fontId="0" fillId="0" borderId="0"/>
    <xf numFmtId="0" fontId="5" fillId="0" borderId="0"/>
    <xf numFmtId="0" fontId="3" fillId="0" borderId="0"/>
    <xf numFmtId="0" fontId="1" fillId="0" borderId="0"/>
    <xf numFmtId="0" fontId="1" fillId="0" borderId="1"/>
    <xf numFmtId="0" fontId="6" fillId="0" borderId="0" applyNumberFormat="0" applyFill="0" applyBorder="0" applyAlignment="0" applyProtection="0"/>
    <xf numFmtId="0" fontId="3" fillId="0" borderId="1"/>
    <xf numFmtId="0" fontId="7" fillId="0" borderId="1" applyNumberFormat="0" applyFill="0" applyBorder="0" applyAlignment="0" applyProtection="0"/>
    <xf numFmtId="0" fontId="5" fillId="0" borderId="1"/>
  </cellStyleXfs>
  <cellXfs count="34">
    <xf numFmtId="0" fontId="0" fillId="0" borderId="0" xfId="0"/>
    <xf numFmtId="1" fontId="0" fillId="0" borderId="0" xfId="0" applyNumberFormat="1"/>
    <xf numFmtId="0" fontId="3" fillId="0" borderId="0" xfId="0" applyFont="1"/>
    <xf numFmtId="0" fontId="0" fillId="0" borderId="0" xfId="0" applyAlignment="1">
      <alignment horizontal="center" vertical="center" wrapText="1"/>
    </xf>
    <xf numFmtId="0" fontId="4" fillId="2" borderId="0" xfId="0" applyFont="1" applyFill="1"/>
    <xf numFmtId="0" fontId="0" fillId="2" borderId="0" xfId="0" applyFill="1"/>
    <xf numFmtId="2" fontId="0" fillId="0" borderId="0" xfId="0" applyNumberFormat="1"/>
    <xf numFmtId="2" fontId="0" fillId="2" borderId="0" xfId="0" applyNumberFormat="1" applyFill="1"/>
    <xf numFmtId="0" fontId="4" fillId="0" borderId="0" xfId="0" applyFont="1" applyAlignment="1">
      <alignment horizontal="center" vertical="center" wrapText="1"/>
    </xf>
    <xf numFmtId="0" fontId="6" fillId="0" borderId="0" xfId="5"/>
    <xf numFmtId="0" fontId="3" fillId="0" borderId="2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/>
    </xf>
    <xf numFmtId="0" fontId="6" fillId="4" borderId="2" xfId="5" applyFill="1" applyBorder="1" applyAlignment="1">
      <alignment horizontal="center" vertical="center"/>
    </xf>
    <xf numFmtId="0" fontId="6" fillId="5" borderId="2" xfId="5" applyFill="1" applyBorder="1" applyAlignment="1">
      <alignment horizontal="center" vertical="center"/>
    </xf>
    <xf numFmtId="0" fontId="3" fillId="0" borderId="1" xfId="6"/>
    <xf numFmtId="0" fontId="7" fillId="4" borderId="2" xfId="7" applyFill="1" applyBorder="1" applyAlignment="1">
      <alignment horizontal="center" vertical="center"/>
    </xf>
    <xf numFmtId="0" fontId="3" fillId="0" borderId="2" xfId="6" applyBorder="1" applyAlignment="1">
      <alignment horizontal="left" vertical="center" wrapText="1"/>
    </xf>
    <xf numFmtId="0" fontId="7" fillId="5" borderId="2" xfId="7" applyFill="1" applyBorder="1" applyAlignment="1">
      <alignment horizontal="center" vertical="center"/>
    </xf>
    <xf numFmtId="0" fontId="8" fillId="0" borderId="1" xfId="8" applyFont="1"/>
    <xf numFmtId="0" fontId="5" fillId="0" borderId="1" xfId="8"/>
    <xf numFmtId="0" fontId="5" fillId="0" borderId="1" xfId="8" applyAlignment="1">
      <alignment wrapText="1"/>
    </xf>
    <xf numFmtId="17" fontId="5" fillId="0" borderId="1" xfId="8" applyNumberFormat="1"/>
    <xf numFmtId="14" fontId="3" fillId="0" borderId="1" xfId="6" applyNumberFormat="1"/>
    <xf numFmtId="0" fontId="0" fillId="0" borderId="0" xfId="0" applyAlignment="1">
      <alignment horizontal="right"/>
    </xf>
    <xf numFmtId="0" fontId="9" fillId="0" borderId="0" xfId="0" applyFont="1" applyFill="1"/>
    <xf numFmtId="1" fontId="9" fillId="0" borderId="0" xfId="0" applyNumberFormat="1" applyFont="1" applyFill="1"/>
    <xf numFmtId="0" fontId="4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top" wrapText="1"/>
    </xf>
    <xf numFmtId="0" fontId="6" fillId="0" borderId="0" xfId="5" applyAlignment="1">
      <alignment horizontal="left"/>
    </xf>
    <xf numFmtId="0" fontId="4" fillId="0" borderId="1" xfId="0" applyFont="1" applyBorder="1" applyAlignment="1">
      <alignment horizontal="left"/>
    </xf>
    <xf numFmtId="0" fontId="0" fillId="2" borderId="0" xfId="0" applyFill="1" applyAlignment="1">
      <alignment horizontal="center"/>
    </xf>
    <xf numFmtId="0" fontId="6" fillId="4" borderId="2" xfId="5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/>
    </xf>
    <xf numFmtId="0" fontId="2" fillId="0" borderId="1" xfId="0" applyFont="1" applyBorder="1" applyAlignment="1">
      <alignment horizontal="left"/>
    </xf>
  </cellXfs>
  <cellStyles count="9">
    <cellStyle name="Hyperlink" xfId="5" builtinId="8"/>
    <cellStyle name="Hyperlink 2" xfId="7" xr:uid="{CC3D5551-76CB-4FD9-B358-3CF489C8E1CA}"/>
    <cellStyle name="Normal" xfId="0" builtinId="0"/>
    <cellStyle name="Normal 2" xfId="1" xr:uid="{758592AC-60D5-4B2B-B32F-EC88021B6BAE}"/>
    <cellStyle name="Normal 2 2" xfId="4" xr:uid="{5F1474CD-D5E6-4A33-BF67-0D2954025030}"/>
    <cellStyle name="Normal 2 3" xfId="8" xr:uid="{68A4D579-AB1E-4AEC-B944-B0F94192806C}"/>
    <cellStyle name="Normal 3" xfId="2" xr:uid="{50099E68-E867-4595-A879-E69B97D9A1D8}"/>
    <cellStyle name="Normal 3 2" xfId="6" xr:uid="{29C83E18-39A9-4E6F-A346-66C3D723D687}"/>
    <cellStyle name="Normal 4" xfId="3" xr:uid="{B258D30A-ED72-4A47-8A53-E702C7560F0F}"/>
  </cellStyles>
  <dxfs count="0"/>
  <tableStyles count="1" defaultTableStyle="TableStyleMedium2" defaultPivotStyle="PivotStyleLight16">
    <tableStyle name="Invisible" pivot="0" table="0" count="0" xr9:uid="{4D7B2554-F636-4803-AC42-45ABCBC296D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0"/>
          <c:y val="5.0776736841590661E-2"/>
          <c:w val="1"/>
          <c:h val="0.933522717087884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'Fig1'!$D$2</c:f>
              <c:strCache>
                <c:ptCount val="1"/>
                <c:pt idx="0">
                  <c:v>AE</c:v>
                </c:pt>
              </c:strCache>
            </c:strRef>
          </c:tx>
          <c:spPr>
            <a:pattFill prst="pct5">
              <a:fgClr>
                <a:srgbClr val="4B82AD"/>
              </a:fgClr>
              <a:bgClr>
                <a:srgbClr val="4B8CAD"/>
              </a:bgClr>
            </a:patt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solidFill>
                        <a:srgbClr val="0070C0"/>
                      </a:solidFill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'Fig1'!$C$3:$C$34</c:f>
              <c:strCache>
                <c:ptCount val="32"/>
                <c:pt idx="0">
                  <c:v>1990M12</c:v>
                </c:pt>
                <c:pt idx="1">
                  <c:v>1991M12</c:v>
                </c:pt>
                <c:pt idx="2">
                  <c:v>1992M12</c:v>
                </c:pt>
                <c:pt idx="3">
                  <c:v>1993M12</c:v>
                </c:pt>
                <c:pt idx="4">
                  <c:v>1994M12</c:v>
                </c:pt>
                <c:pt idx="5">
                  <c:v>1995M12</c:v>
                </c:pt>
                <c:pt idx="6">
                  <c:v>1996M12</c:v>
                </c:pt>
                <c:pt idx="7">
                  <c:v>1997M12</c:v>
                </c:pt>
                <c:pt idx="8">
                  <c:v>1998M12</c:v>
                </c:pt>
                <c:pt idx="9">
                  <c:v>1999M12</c:v>
                </c:pt>
                <c:pt idx="10">
                  <c:v>2000M12</c:v>
                </c:pt>
                <c:pt idx="11">
                  <c:v>2001M12</c:v>
                </c:pt>
                <c:pt idx="12">
                  <c:v>2002M12</c:v>
                </c:pt>
                <c:pt idx="13">
                  <c:v>2003M12</c:v>
                </c:pt>
                <c:pt idx="14">
                  <c:v>2004M12</c:v>
                </c:pt>
                <c:pt idx="15">
                  <c:v>2005M12</c:v>
                </c:pt>
                <c:pt idx="16">
                  <c:v>2006M12</c:v>
                </c:pt>
                <c:pt idx="17">
                  <c:v>2007M12</c:v>
                </c:pt>
                <c:pt idx="18">
                  <c:v>2008M12</c:v>
                </c:pt>
                <c:pt idx="19">
                  <c:v>2009M12</c:v>
                </c:pt>
                <c:pt idx="20">
                  <c:v>2010M12</c:v>
                </c:pt>
                <c:pt idx="21">
                  <c:v>2011M12</c:v>
                </c:pt>
                <c:pt idx="22">
                  <c:v>2012M12</c:v>
                </c:pt>
                <c:pt idx="23">
                  <c:v>2013M12</c:v>
                </c:pt>
                <c:pt idx="24">
                  <c:v>2014M12</c:v>
                </c:pt>
                <c:pt idx="25">
                  <c:v>2015M12</c:v>
                </c:pt>
                <c:pt idx="26">
                  <c:v>2016M12</c:v>
                </c:pt>
                <c:pt idx="27">
                  <c:v>2017M12</c:v>
                </c:pt>
                <c:pt idx="28">
                  <c:v>2018M12</c:v>
                </c:pt>
                <c:pt idx="29">
                  <c:v>2019M12</c:v>
                </c:pt>
                <c:pt idx="30">
                  <c:v>2020M12</c:v>
                </c:pt>
                <c:pt idx="31">
                  <c:v>2021M12</c:v>
                </c:pt>
              </c:strCache>
            </c:strRef>
          </c:cat>
          <c:val>
            <c:numRef>
              <c:f>'Fig1'!$D$3:$D$34</c:f>
              <c:numCache>
                <c:formatCode>General</c:formatCode>
                <c:ptCount val="32"/>
                <c:pt idx="0">
                  <c:v>1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9</c:v>
                </c:pt>
                <c:pt idx="6">
                  <c:v>10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18</c:v>
                </c:pt>
                <c:pt idx="11">
                  <c:v>18</c:v>
                </c:pt>
                <c:pt idx="12">
                  <c:v>18</c:v>
                </c:pt>
                <c:pt idx="13">
                  <c:v>20</c:v>
                </c:pt>
                <c:pt idx="14">
                  <c:v>24</c:v>
                </c:pt>
                <c:pt idx="15">
                  <c:v>24</c:v>
                </c:pt>
                <c:pt idx="16">
                  <c:v>24</c:v>
                </c:pt>
                <c:pt idx="17">
                  <c:v>28</c:v>
                </c:pt>
                <c:pt idx="18">
                  <c:v>29</c:v>
                </c:pt>
                <c:pt idx="19">
                  <c:v>29</c:v>
                </c:pt>
                <c:pt idx="20">
                  <c:v>32</c:v>
                </c:pt>
                <c:pt idx="21">
                  <c:v>33</c:v>
                </c:pt>
                <c:pt idx="22">
                  <c:v>33</c:v>
                </c:pt>
                <c:pt idx="23">
                  <c:v>35</c:v>
                </c:pt>
                <c:pt idx="24">
                  <c:v>36</c:v>
                </c:pt>
                <c:pt idx="25">
                  <c:v>36</c:v>
                </c:pt>
                <c:pt idx="26">
                  <c:v>36</c:v>
                </c:pt>
                <c:pt idx="27">
                  <c:v>36</c:v>
                </c:pt>
                <c:pt idx="28">
                  <c:v>36</c:v>
                </c:pt>
                <c:pt idx="29">
                  <c:v>36</c:v>
                </c:pt>
                <c:pt idx="30">
                  <c:v>36</c:v>
                </c:pt>
                <c:pt idx="31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C6-4875-A940-F52C59030929}"/>
            </c:ext>
          </c:extLst>
        </c:ser>
        <c:ser>
          <c:idx val="1"/>
          <c:order val="1"/>
          <c:tx>
            <c:strRef>
              <c:f>'Fig1'!$E$2</c:f>
              <c:strCache>
                <c:ptCount val="1"/>
                <c:pt idx="0">
                  <c:v>EMDE</c:v>
                </c:pt>
              </c:strCache>
            </c:strRef>
          </c:tx>
          <c:spPr>
            <a:pattFill prst="ltDnDiag">
              <a:fgClr>
                <a:srgbClr val="231F20"/>
              </a:fgClr>
              <a:bgClr>
                <a:srgbClr val="FFFFFF"/>
              </a:bgClr>
            </a:patt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'Fig1'!$C$3:$C$34</c:f>
              <c:strCache>
                <c:ptCount val="32"/>
                <c:pt idx="0">
                  <c:v>1990M12</c:v>
                </c:pt>
                <c:pt idx="1">
                  <c:v>1991M12</c:v>
                </c:pt>
                <c:pt idx="2">
                  <c:v>1992M12</c:v>
                </c:pt>
                <c:pt idx="3">
                  <c:v>1993M12</c:v>
                </c:pt>
                <c:pt idx="4">
                  <c:v>1994M12</c:v>
                </c:pt>
                <c:pt idx="5">
                  <c:v>1995M12</c:v>
                </c:pt>
                <c:pt idx="6">
                  <c:v>1996M12</c:v>
                </c:pt>
                <c:pt idx="7">
                  <c:v>1997M12</c:v>
                </c:pt>
                <c:pt idx="8">
                  <c:v>1998M12</c:v>
                </c:pt>
                <c:pt idx="9">
                  <c:v>1999M12</c:v>
                </c:pt>
                <c:pt idx="10">
                  <c:v>2000M12</c:v>
                </c:pt>
                <c:pt idx="11">
                  <c:v>2001M12</c:v>
                </c:pt>
                <c:pt idx="12">
                  <c:v>2002M12</c:v>
                </c:pt>
                <c:pt idx="13">
                  <c:v>2003M12</c:v>
                </c:pt>
                <c:pt idx="14">
                  <c:v>2004M12</c:v>
                </c:pt>
                <c:pt idx="15">
                  <c:v>2005M12</c:v>
                </c:pt>
                <c:pt idx="16">
                  <c:v>2006M12</c:v>
                </c:pt>
                <c:pt idx="17">
                  <c:v>2007M12</c:v>
                </c:pt>
                <c:pt idx="18">
                  <c:v>2008M12</c:v>
                </c:pt>
                <c:pt idx="19">
                  <c:v>2009M12</c:v>
                </c:pt>
                <c:pt idx="20">
                  <c:v>2010M12</c:v>
                </c:pt>
                <c:pt idx="21">
                  <c:v>2011M12</c:v>
                </c:pt>
                <c:pt idx="22">
                  <c:v>2012M12</c:v>
                </c:pt>
                <c:pt idx="23">
                  <c:v>2013M12</c:v>
                </c:pt>
                <c:pt idx="24">
                  <c:v>2014M12</c:v>
                </c:pt>
                <c:pt idx="25">
                  <c:v>2015M12</c:v>
                </c:pt>
                <c:pt idx="26">
                  <c:v>2016M12</c:v>
                </c:pt>
                <c:pt idx="27">
                  <c:v>2017M12</c:v>
                </c:pt>
                <c:pt idx="28">
                  <c:v>2018M12</c:v>
                </c:pt>
                <c:pt idx="29">
                  <c:v>2019M12</c:v>
                </c:pt>
                <c:pt idx="30">
                  <c:v>2020M12</c:v>
                </c:pt>
                <c:pt idx="31">
                  <c:v>2021M12</c:v>
                </c:pt>
              </c:strCache>
            </c:strRef>
          </c:cat>
          <c:val>
            <c:numRef>
              <c:f>'Fig1'!$E$3:$E$34</c:f>
              <c:numCache>
                <c:formatCode>General</c:formatCode>
                <c:ptCount val="32"/>
                <c:pt idx="0">
                  <c:v>2</c:v>
                </c:pt>
                <c:pt idx="1">
                  <c:v>3</c:v>
                </c:pt>
                <c:pt idx="2">
                  <c:v>5</c:v>
                </c:pt>
                <c:pt idx="3">
                  <c:v>9</c:v>
                </c:pt>
                <c:pt idx="4">
                  <c:v>14</c:v>
                </c:pt>
                <c:pt idx="5">
                  <c:v>20</c:v>
                </c:pt>
                <c:pt idx="6">
                  <c:v>28</c:v>
                </c:pt>
                <c:pt idx="7">
                  <c:v>35</c:v>
                </c:pt>
                <c:pt idx="8">
                  <c:v>37</c:v>
                </c:pt>
                <c:pt idx="9">
                  <c:v>39</c:v>
                </c:pt>
                <c:pt idx="10">
                  <c:v>44</c:v>
                </c:pt>
                <c:pt idx="11">
                  <c:v>50</c:v>
                </c:pt>
                <c:pt idx="12">
                  <c:v>55</c:v>
                </c:pt>
                <c:pt idx="13">
                  <c:v>59</c:v>
                </c:pt>
                <c:pt idx="14">
                  <c:v>65</c:v>
                </c:pt>
                <c:pt idx="15">
                  <c:v>67</c:v>
                </c:pt>
                <c:pt idx="16">
                  <c:v>70</c:v>
                </c:pt>
                <c:pt idx="17">
                  <c:v>75</c:v>
                </c:pt>
                <c:pt idx="18">
                  <c:v>77</c:v>
                </c:pt>
                <c:pt idx="19">
                  <c:v>82</c:v>
                </c:pt>
                <c:pt idx="20">
                  <c:v>83</c:v>
                </c:pt>
                <c:pt idx="21">
                  <c:v>92</c:v>
                </c:pt>
                <c:pt idx="22">
                  <c:v>94</c:v>
                </c:pt>
                <c:pt idx="23">
                  <c:v>94</c:v>
                </c:pt>
                <c:pt idx="24">
                  <c:v>96</c:v>
                </c:pt>
                <c:pt idx="25">
                  <c:v>96</c:v>
                </c:pt>
                <c:pt idx="26">
                  <c:v>97</c:v>
                </c:pt>
                <c:pt idx="27">
                  <c:v>97</c:v>
                </c:pt>
                <c:pt idx="28">
                  <c:v>97</c:v>
                </c:pt>
                <c:pt idx="29">
                  <c:v>97</c:v>
                </c:pt>
                <c:pt idx="30">
                  <c:v>97</c:v>
                </c:pt>
                <c:pt idx="31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C6-4875-A940-F52C59030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9476127"/>
        <c:axId val="676947551"/>
      </c:barChart>
      <c:catAx>
        <c:axId val="2089476127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3175" cap="flat" cmpd="sng" algn="ctr">
            <a:solidFill>
              <a:srgbClr val="B3B3B3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676947551"/>
        <c:crosses val="autoZero"/>
        <c:auto val="1"/>
        <c:lblAlgn val="ctr"/>
        <c:lblOffset val="100"/>
        <c:tickLblSkip val="2"/>
        <c:noMultiLvlLbl val="0"/>
      </c:catAx>
      <c:valAx>
        <c:axId val="676947551"/>
        <c:scaling>
          <c:orientation val="minMax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3175">
            <a:solidFill>
              <a:srgbClr val="B3B3B3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089476127"/>
        <c:crosses val="autoZero"/>
        <c:crossBetween val="between"/>
      </c:valAx>
      <c:spPr>
        <a:solidFill>
          <a:srgbClr val="FFFFFF"/>
        </a:solidFill>
        <a:ln w="3175">
          <a:solidFill>
            <a:srgbClr val="B3B3B3"/>
          </a:solidFill>
          <a:prstDash val="solid"/>
        </a:ln>
        <a:effectLst/>
      </c:spPr>
    </c:plotArea>
    <c:legend>
      <c:legendPos val="t"/>
      <c:layout>
        <c:manualLayout>
          <c:xMode val="edge"/>
          <c:yMode val="edge"/>
          <c:x val="0.10044728783902013"/>
          <c:y val="0.11627283058689829"/>
          <c:w val="0.1919400699912511"/>
          <c:h val="9.1899241761446482E-2"/>
        </c:manualLayout>
      </c:layout>
      <c:overlay val="1"/>
      <c:spPr>
        <a:solidFill>
          <a:srgbClr val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3214335050224"/>
          <c:y val="5.4100697831469938E-2"/>
          <c:w val="0.72052835500825552"/>
          <c:h val="0.8170549078038958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'Fig2'!$A$13</c:f>
              <c:strCache>
                <c:ptCount val="1"/>
                <c:pt idx="0">
                  <c:v>AE</c:v>
                </c:pt>
              </c:strCache>
            </c:strRef>
          </c:tx>
          <c:spPr>
            <a:pattFill prst="pct5">
              <a:fgClr>
                <a:srgbClr val="4B82AD"/>
              </a:fgClr>
              <a:bgClr>
                <a:srgbClr val="4B8CAD"/>
              </a:bgClr>
            </a:patt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'Fig2'!$B$12:$R$12</c:f>
              <c:strCache>
                <c:ptCount val="17"/>
                <c:pt idx="0">
                  <c:v>FX position</c:v>
                </c:pt>
                <c:pt idx="1">
                  <c:v>Loan to deposit</c:v>
                </c:pt>
                <c:pt idx="2">
                  <c:v>Credit growth</c:v>
                </c:pt>
                <c:pt idx="3">
                  <c:v>FX loan</c:v>
                </c:pt>
                <c:pt idx="4">
                  <c:v>Tax</c:v>
                </c:pt>
                <c:pt idx="5">
                  <c:v>CCB</c:v>
                </c:pt>
                <c:pt idx="6">
                  <c:v>DSTI</c:v>
                </c:pt>
                <c:pt idx="7">
                  <c:v>LoanR</c:v>
                </c:pt>
                <c:pt idx="8">
                  <c:v>Reserve Req.</c:v>
                </c:pt>
                <c:pt idx="9">
                  <c:v>LTV</c:v>
                </c:pt>
                <c:pt idx="10">
                  <c:v>Leverage</c:v>
                </c:pt>
                <c:pt idx="11">
                  <c:v>Provisions</c:v>
                </c:pt>
                <c:pt idx="12">
                  <c:v>Other</c:v>
                </c:pt>
                <c:pt idx="13">
                  <c:v>Conservation</c:v>
                </c:pt>
                <c:pt idx="14">
                  <c:v>Capital</c:v>
                </c:pt>
                <c:pt idx="15">
                  <c:v>SIFI</c:v>
                </c:pt>
                <c:pt idx="16">
                  <c:v>Liquidity</c:v>
                </c:pt>
              </c:strCache>
            </c:strRef>
          </c:cat>
          <c:val>
            <c:numRef>
              <c:f>'Fig2'!$B$13:$R$13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14</c:v>
                </c:pt>
                <c:pt idx="5">
                  <c:v>17</c:v>
                </c:pt>
                <c:pt idx="6">
                  <c:v>21</c:v>
                </c:pt>
                <c:pt idx="7">
                  <c:v>24</c:v>
                </c:pt>
                <c:pt idx="8">
                  <c:v>25</c:v>
                </c:pt>
                <c:pt idx="9">
                  <c:v>27</c:v>
                </c:pt>
                <c:pt idx="10">
                  <c:v>28</c:v>
                </c:pt>
                <c:pt idx="11">
                  <c:v>31</c:v>
                </c:pt>
                <c:pt idx="12">
                  <c:v>33</c:v>
                </c:pt>
                <c:pt idx="13">
                  <c:v>34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EE-4764-B356-DEB009D40F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47651631"/>
        <c:axId val="1947613519"/>
      </c:barChart>
      <c:catAx>
        <c:axId val="1947651631"/>
        <c:scaling>
          <c:orientation val="minMax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3175" cap="flat" cmpd="sng" algn="ctr">
            <a:solidFill>
              <a:srgbClr val="B3B3B3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7613519"/>
        <c:crosses val="autoZero"/>
        <c:auto val="1"/>
        <c:lblAlgn val="ctr"/>
        <c:lblOffset val="100"/>
        <c:noMultiLvlLbl val="0"/>
      </c:catAx>
      <c:valAx>
        <c:axId val="19476135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Number of Economies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175">
            <a:solidFill>
              <a:srgbClr val="B3B3B3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7651631"/>
        <c:crosses val="autoZero"/>
        <c:crossBetween val="between"/>
      </c:valAx>
      <c:spPr>
        <a:solidFill>
          <a:srgbClr val="FFFFFF"/>
        </a:solidFill>
        <a:ln w="3175">
          <a:solidFill>
            <a:srgbClr val="B3B3B3"/>
          </a:solidFill>
          <a:prstDash val="solid"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5354843498033186"/>
          <c:y val="4.5561652178482279E-2"/>
          <c:w val="0.70322935854097934"/>
          <c:h val="0.8219523374502949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'Fig2'!$A$16</c:f>
              <c:strCache>
                <c:ptCount val="1"/>
                <c:pt idx="0">
                  <c:v>EMDE</c:v>
                </c:pt>
              </c:strCache>
            </c:strRef>
          </c:tx>
          <c:spPr>
            <a:pattFill prst="pct5">
              <a:fgClr>
                <a:srgbClr val="4B82AD"/>
              </a:fgClr>
              <a:bgClr>
                <a:srgbClr val="4B8CAD"/>
              </a:bgClr>
            </a:patt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'Fig2'!$B$15:$R$15</c:f>
              <c:strCache>
                <c:ptCount val="17"/>
                <c:pt idx="0">
                  <c:v>CCB</c:v>
                </c:pt>
                <c:pt idx="1">
                  <c:v>Tax</c:v>
                </c:pt>
                <c:pt idx="2">
                  <c:v>Credit growth</c:v>
                </c:pt>
                <c:pt idx="3">
                  <c:v>Loan to deposit</c:v>
                </c:pt>
                <c:pt idx="4">
                  <c:v>FX loan</c:v>
                </c:pt>
                <c:pt idx="5">
                  <c:v>DSTI</c:v>
                </c:pt>
                <c:pt idx="6">
                  <c:v>LTV</c:v>
                </c:pt>
                <c:pt idx="7">
                  <c:v>Other</c:v>
                </c:pt>
                <c:pt idx="8">
                  <c:v>Leverage</c:v>
                </c:pt>
                <c:pt idx="9">
                  <c:v>SIFI</c:v>
                </c:pt>
                <c:pt idx="10">
                  <c:v>Provisions</c:v>
                </c:pt>
                <c:pt idx="11">
                  <c:v>LoanR</c:v>
                </c:pt>
                <c:pt idx="12">
                  <c:v>Reserve Req.</c:v>
                </c:pt>
                <c:pt idx="13">
                  <c:v>Capital</c:v>
                </c:pt>
                <c:pt idx="14">
                  <c:v>Conservation</c:v>
                </c:pt>
                <c:pt idx="15">
                  <c:v>Liquidity</c:v>
                </c:pt>
                <c:pt idx="16">
                  <c:v>FX position</c:v>
                </c:pt>
              </c:strCache>
            </c:strRef>
          </c:cat>
          <c:val>
            <c:numRef>
              <c:f>'Fig2'!$B$16:$R$16</c:f>
              <c:numCache>
                <c:formatCode>General</c:formatCode>
                <c:ptCount val="17"/>
                <c:pt idx="0">
                  <c:v>8</c:v>
                </c:pt>
                <c:pt idx="1">
                  <c:v>10</c:v>
                </c:pt>
                <c:pt idx="2">
                  <c:v>15</c:v>
                </c:pt>
                <c:pt idx="3">
                  <c:v>18</c:v>
                </c:pt>
                <c:pt idx="4">
                  <c:v>25</c:v>
                </c:pt>
                <c:pt idx="5">
                  <c:v>34</c:v>
                </c:pt>
                <c:pt idx="6">
                  <c:v>40</c:v>
                </c:pt>
                <c:pt idx="7">
                  <c:v>46</c:v>
                </c:pt>
                <c:pt idx="8">
                  <c:v>53</c:v>
                </c:pt>
                <c:pt idx="9">
                  <c:v>53</c:v>
                </c:pt>
                <c:pt idx="10">
                  <c:v>55</c:v>
                </c:pt>
                <c:pt idx="11">
                  <c:v>55</c:v>
                </c:pt>
                <c:pt idx="12">
                  <c:v>60</c:v>
                </c:pt>
                <c:pt idx="13">
                  <c:v>63</c:v>
                </c:pt>
                <c:pt idx="14">
                  <c:v>64</c:v>
                </c:pt>
                <c:pt idx="15">
                  <c:v>77</c:v>
                </c:pt>
                <c:pt idx="16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7A-46F4-B320-D7760E27A4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47651631"/>
        <c:axId val="1947613519"/>
      </c:barChart>
      <c:catAx>
        <c:axId val="1947651631"/>
        <c:scaling>
          <c:orientation val="minMax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3175" cap="flat" cmpd="sng" algn="ctr">
            <a:solidFill>
              <a:srgbClr val="B3B3B3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Segoe UI"/>
                <a:cs typeface="Arial" panose="020B0604020202020204" pitchFamily="34" charset="0"/>
              </a:defRPr>
            </a:pPr>
            <a:endParaRPr lang="en-US"/>
          </a:p>
        </c:txPr>
        <c:crossAx val="1947613519"/>
        <c:crosses val="autoZero"/>
        <c:auto val="1"/>
        <c:lblAlgn val="ctr"/>
        <c:lblOffset val="100"/>
        <c:noMultiLvlLbl val="0"/>
      </c:catAx>
      <c:valAx>
        <c:axId val="1947613519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r>
                  <a:rPr lang="en-US">
                    <a:latin typeface="Segoe UI" panose="020B0502040204020203" pitchFamily="34" charset="0"/>
                    <a:cs typeface="Segoe UI" panose="020B0502040204020203" pitchFamily="34" charset="0"/>
                  </a:rPr>
                  <a:t>Number</a:t>
                </a:r>
                <a:r>
                  <a:rPr lang="en-US" baseline="0">
                    <a:latin typeface="Segoe UI" panose="020B0502040204020203" pitchFamily="34" charset="0"/>
                    <a:cs typeface="Segoe UI" panose="020B0502040204020203" pitchFamily="34" charset="0"/>
                  </a:rPr>
                  <a:t> of Economies</a:t>
                </a:r>
                <a:endParaRPr lang="en-US">
                  <a:latin typeface="Segoe UI" panose="020B0502040204020203" pitchFamily="34" charset="0"/>
                  <a:cs typeface="Segoe UI" panose="020B05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175">
            <a:solidFill>
              <a:srgbClr val="B3B3B3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947651631"/>
        <c:crosses val="autoZero"/>
        <c:crossBetween val="between"/>
      </c:valAx>
      <c:spPr>
        <a:solidFill>
          <a:srgbClr val="FFFFFF"/>
        </a:solidFill>
        <a:ln w="3175">
          <a:solidFill>
            <a:srgbClr val="B3B3B3"/>
          </a:solidFill>
          <a:prstDash val="solid"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870691163604551"/>
          <c:y val="4.9576407840558022E-2"/>
          <c:w val="0.75807086614173225"/>
          <c:h val="0.8186548535785754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'Fig3'!$A$13</c:f>
              <c:strCache>
                <c:ptCount val="1"/>
                <c:pt idx="0">
                  <c:v>AE</c:v>
                </c:pt>
              </c:strCache>
            </c:strRef>
          </c:tx>
          <c:spPr>
            <a:pattFill prst="pct5">
              <a:fgClr>
                <a:srgbClr val="4B82AD"/>
              </a:fgClr>
              <a:bgClr>
                <a:srgbClr val="4B8CAD"/>
              </a:bgClr>
            </a:patt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'Fig3'!$B$12:$R$12</c:f>
              <c:strCache>
                <c:ptCount val="17"/>
                <c:pt idx="0">
                  <c:v>Credit growth</c:v>
                </c:pt>
                <c:pt idx="1">
                  <c:v>FX position</c:v>
                </c:pt>
                <c:pt idx="2">
                  <c:v>FX loan</c:v>
                </c:pt>
                <c:pt idx="3">
                  <c:v>Loan to deposit</c:v>
                </c:pt>
                <c:pt idx="4">
                  <c:v>Reserve Req.</c:v>
                </c:pt>
                <c:pt idx="5">
                  <c:v>Tax</c:v>
                </c:pt>
                <c:pt idx="6">
                  <c:v>Leverage</c:v>
                </c:pt>
                <c:pt idx="7">
                  <c:v>CCB</c:v>
                </c:pt>
                <c:pt idx="8">
                  <c:v>LoanR</c:v>
                </c:pt>
                <c:pt idx="9">
                  <c:v>DSTI</c:v>
                </c:pt>
                <c:pt idx="10">
                  <c:v>Provisions</c:v>
                </c:pt>
                <c:pt idx="11">
                  <c:v>LTV</c:v>
                </c:pt>
                <c:pt idx="12">
                  <c:v>Capital</c:v>
                </c:pt>
                <c:pt idx="13">
                  <c:v>Conservation</c:v>
                </c:pt>
                <c:pt idx="14">
                  <c:v>SIFI</c:v>
                </c:pt>
                <c:pt idx="15">
                  <c:v>Other</c:v>
                </c:pt>
                <c:pt idx="16">
                  <c:v>Liquidity</c:v>
                </c:pt>
              </c:strCache>
            </c:strRef>
          </c:cat>
          <c:val>
            <c:numRef>
              <c:f>'Fig3'!$B$13:$R$13</c:f>
              <c:numCache>
                <c:formatCode>0.00</c:formatCode>
                <c:ptCount val="17"/>
                <c:pt idx="0">
                  <c:v>6.9444444961845875E-3</c:v>
                </c:pt>
                <c:pt idx="1">
                  <c:v>1.1574074625968933E-2</c:v>
                </c:pt>
                <c:pt idx="2">
                  <c:v>1.3888888992369175E-2</c:v>
                </c:pt>
                <c:pt idx="3">
                  <c:v>1.8518518656492233E-2</c:v>
                </c:pt>
                <c:pt idx="4">
                  <c:v>4.6296298503875732E-2</c:v>
                </c:pt>
                <c:pt idx="5">
                  <c:v>8.5648149251937866E-2</c:v>
                </c:pt>
                <c:pt idx="6">
                  <c:v>0.10185185819864273</c:v>
                </c:pt>
                <c:pt idx="7">
                  <c:v>0.13657408952713013</c:v>
                </c:pt>
                <c:pt idx="8">
                  <c:v>0.1388888955116272</c:v>
                </c:pt>
                <c:pt idx="9">
                  <c:v>0.16203704476356506</c:v>
                </c:pt>
                <c:pt idx="10">
                  <c:v>0.19907405972480774</c:v>
                </c:pt>
                <c:pt idx="11">
                  <c:v>0.21990740299224854</c:v>
                </c:pt>
                <c:pt idx="12">
                  <c:v>0.25</c:v>
                </c:pt>
                <c:pt idx="13">
                  <c:v>0.29629629850387573</c:v>
                </c:pt>
                <c:pt idx="14">
                  <c:v>0.32870370149612427</c:v>
                </c:pt>
                <c:pt idx="15">
                  <c:v>0.3333333432674408</c:v>
                </c:pt>
                <c:pt idx="16">
                  <c:v>0.45601853728294373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61-4ECA-8FDB-3095115442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47651631"/>
        <c:axId val="1947613519"/>
      </c:barChart>
      <c:catAx>
        <c:axId val="1947651631"/>
        <c:scaling>
          <c:orientation val="minMax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3175" cap="flat" cmpd="sng" algn="ctr">
            <a:solidFill>
              <a:srgbClr val="B3B3B3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7613519"/>
        <c:crosses val="autoZero"/>
        <c:auto val="1"/>
        <c:lblAlgn val="ctr"/>
        <c:lblOffset val="100"/>
        <c:noMultiLvlLbl val="0"/>
      </c:catAx>
      <c:valAx>
        <c:axId val="1947613519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Average Number of Actions per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0" sourceLinked="1"/>
        <c:majorTickMark val="in"/>
        <c:minorTickMark val="none"/>
        <c:tickLblPos val="nextTo"/>
        <c:spPr>
          <a:noFill/>
          <a:ln w="3175">
            <a:solidFill>
              <a:srgbClr val="B3B3B3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7651631"/>
        <c:crosses val="autoZero"/>
        <c:crossBetween val="between"/>
      </c:valAx>
      <c:spPr>
        <a:solidFill>
          <a:srgbClr val="FFFFFF"/>
        </a:solidFill>
        <a:ln w="3175">
          <a:solidFill>
            <a:srgbClr val="B3B3B3"/>
          </a:solidFill>
          <a:prstDash val="solid"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870691163604551"/>
          <c:y val="4.8244596018994543E-2"/>
          <c:w val="0.75807086614173225"/>
          <c:h val="0.8237857684783187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'Fig3'!$A$16</c:f>
              <c:strCache>
                <c:ptCount val="1"/>
                <c:pt idx="0">
                  <c:v>EMDE</c:v>
                </c:pt>
              </c:strCache>
            </c:strRef>
          </c:tx>
          <c:spPr>
            <a:pattFill prst="pct5">
              <a:fgClr>
                <a:srgbClr val="4B82AD"/>
              </a:fgClr>
              <a:bgClr>
                <a:srgbClr val="4B8CAD"/>
              </a:bgClr>
            </a:patt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'Fig3'!$B$15:$R$15</c:f>
              <c:strCache>
                <c:ptCount val="17"/>
                <c:pt idx="0">
                  <c:v>CCB</c:v>
                </c:pt>
                <c:pt idx="1">
                  <c:v>Credit growth</c:v>
                </c:pt>
                <c:pt idx="2">
                  <c:v>FX loan</c:v>
                </c:pt>
                <c:pt idx="3">
                  <c:v>Loan to deposit</c:v>
                </c:pt>
                <c:pt idx="4">
                  <c:v>Tax</c:v>
                </c:pt>
                <c:pt idx="5">
                  <c:v>DSTI</c:v>
                </c:pt>
                <c:pt idx="6">
                  <c:v>Leverage</c:v>
                </c:pt>
                <c:pt idx="7">
                  <c:v>Other</c:v>
                </c:pt>
                <c:pt idx="8">
                  <c:v>FX position</c:v>
                </c:pt>
                <c:pt idx="9">
                  <c:v>Provisions</c:v>
                </c:pt>
                <c:pt idx="10">
                  <c:v>LTV</c:v>
                </c:pt>
                <c:pt idx="11">
                  <c:v>SIFI</c:v>
                </c:pt>
                <c:pt idx="12">
                  <c:v>LoanR</c:v>
                </c:pt>
                <c:pt idx="13">
                  <c:v>Capital</c:v>
                </c:pt>
                <c:pt idx="14">
                  <c:v>Conservation</c:v>
                </c:pt>
                <c:pt idx="15">
                  <c:v>Reserve Req.</c:v>
                </c:pt>
                <c:pt idx="16">
                  <c:v>Liquidity</c:v>
                </c:pt>
              </c:strCache>
            </c:strRef>
          </c:cat>
          <c:val>
            <c:numRef>
              <c:f>'Fig3'!$B$16:$R$16</c:f>
              <c:numCache>
                <c:formatCode>0.00</c:formatCode>
                <c:ptCount val="17"/>
                <c:pt idx="0">
                  <c:v>9.548611007630825E-3</c:v>
                </c:pt>
                <c:pt idx="1">
                  <c:v>1.2280702590942383E-2</c:v>
                </c:pt>
                <c:pt idx="2">
                  <c:v>1.8041238188743591E-2</c:v>
                </c:pt>
                <c:pt idx="3">
                  <c:v>2.1477663889527321E-2</c:v>
                </c:pt>
                <c:pt idx="4">
                  <c:v>2.34375E-2</c:v>
                </c:pt>
                <c:pt idx="5">
                  <c:v>4.4673539698123932E-2</c:v>
                </c:pt>
                <c:pt idx="6">
                  <c:v>5.2721086889505386E-2</c:v>
                </c:pt>
                <c:pt idx="7">
                  <c:v>7.98611119389534E-2</c:v>
                </c:pt>
                <c:pt idx="8">
                  <c:v>7.9896911978721619E-2</c:v>
                </c:pt>
                <c:pt idx="9">
                  <c:v>8.3333335816860199E-2</c:v>
                </c:pt>
                <c:pt idx="10">
                  <c:v>9.1065295040607452E-2</c:v>
                </c:pt>
                <c:pt idx="11">
                  <c:v>0.10223367810249329</c:v>
                </c:pt>
                <c:pt idx="12">
                  <c:v>0.10614035278558731</c:v>
                </c:pt>
                <c:pt idx="13">
                  <c:v>0.14776632189750671</c:v>
                </c:pt>
                <c:pt idx="14">
                  <c:v>0.18189965188503265</c:v>
                </c:pt>
                <c:pt idx="15">
                  <c:v>0.21768707036972046</c:v>
                </c:pt>
                <c:pt idx="16">
                  <c:v>0.27721089124679565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3F-4E6E-8B69-1F271FB29E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47651631"/>
        <c:axId val="1947613519"/>
      </c:barChart>
      <c:catAx>
        <c:axId val="1947651631"/>
        <c:scaling>
          <c:orientation val="minMax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3175" cap="flat" cmpd="sng" algn="ctr">
            <a:solidFill>
              <a:srgbClr val="B3B3B3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7613519"/>
        <c:crosses val="autoZero"/>
        <c:auto val="1"/>
        <c:lblAlgn val="ctr"/>
        <c:lblOffset val="100"/>
        <c:noMultiLvlLbl val="0"/>
      </c:catAx>
      <c:valAx>
        <c:axId val="1947613519"/>
        <c:scaling>
          <c:orientation val="minMax"/>
          <c:max val="0.4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Average Number of Actions per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0" sourceLinked="1"/>
        <c:majorTickMark val="in"/>
        <c:minorTickMark val="none"/>
        <c:tickLblPos val="nextTo"/>
        <c:spPr>
          <a:noFill/>
          <a:ln w="3175">
            <a:solidFill>
              <a:srgbClr val="B3B3B3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7651631"/>
        <c:crosses val="autoZero"/>
        <c:crossBetween val="between"/>
      </c:valAx>
      <c:spPr>
        <a:solidFill>
          <a:srgbClr val="FFFFFF"/>
        </a:solidFill>
        <a:ln w="3175">
          <a:solidFill>
            <a:srgbClr val="B3B3B3"/>
          </a:solidFill>
          <a:prstDash val="solid"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2378889574127594E-2"/>
          <c:y val="2.8153453268387002E-2"/>
          <c:w val="0.85764807050154912"/>
          <c:h val="0.7796964034958228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'Fig4'!$B$2</c:f>
              <c:strCache>
                <c:ptCount val="1"/>
                <c:pt idx="0">
                  <c:v>Advanced Economies</c:v>
                </c:pt>
              </c:strCache>
            </c:strRef>
          </c:tx>
          <c:spPr>
            <a:pattFill prst="ltDnDiag">
              <a:fgClr>
                <a:srgbClr val="4B82AD"/>
              </a:fgClr>
              <a:bgClr>
                <a:srgbClr val="4B8CAD"/>
              </a:bgClr>
            </a:patt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numRef>
              <c:f>'Fig4'!$A$3:$A$130</c:f>
              <c:numCache>
                <c:formatCode>mmm\-yy</c:formatCode>
                <c:ptCount val="89"/>
                <c:pt idx="0">
                  <c:v>36434</c:v>
                </c:pt>
                <c:pt idx="1">
                  <c:v>36526</c:v>
                </c:pt>
                <c:pt idx="2">
                  <c:v>36617</c:v>
                </c:pt>
                <c:pt idx="3">
                  <c:v>36708</c:v>
                </c:pt>
                <c:pt idx="4">
                  <c:v>36800</c:v>
                </c:pt>
                <c:pt idx="5">
                  <c:v>36892</c:v>
                </c:pt>
                <c:pt idx="6">
                  <c:v>36982</c:v>
                </c:pt>
                <c:pt idx="7">
                  <c:v>37073</c:v>
                </c:pt>
                <c:pt idx="8">
                  <c:v>37165</c:v>
                </c:pt>
                <c:pt idx="9">
                  <c:v>37257</c:v>
                </c:pt>
                <c:pt idx="10">
                  <c:v>37347</c:v>
                </c:pt>
                <c:pt idx="11">
                  <c:v>37438</c:v>
                </c:pt>
                <c:pt idx="12">
                  <c:v>37530</c:v>
                </c:pt>
                <c:pt idx="13">
                  <c:v>37622</c:v>
                </c:pt>
                <c:pt idx="14">
                  <c:v>37712</c:v>
                </c:pt>
                <c:pt idx="15">
                  <c:v>37803</c:v>
                </c:pt>
                <c:pt idx="16">
                  <c:v>37895</c:v>
                </c:pt>
                <c:pt idx="17">
                  <c:v>37987</c:v>
                </c:pt>
                <c:pt idx="18">
                  <c:v>38078</c:v>
                </c:pt>
                <c:pt idx="19">
                  <c:v>38169</c:v>
                </c:pt>
                <c:pt idx="20">
                  <c:v>38261</c:v>
                </c:pt>
                <c:pt idx="21">
                  <c:v>38353</c:v>
                </c:pt>
                <c:pt idx="22">
                  <c:v>38443</c:v>
                </c:pt>
                <c:pt idx="23">
                  <c:v>38534</c:v>
                </c:pt>
                <c:pt idx="24">
                  <c:v>38626</c:v>
                </c:pt>
                <c:pt idx="25">
                  <c:v>38718</c:v>
                </c:pt>
                <c:pt idx="26">
                  <c:v>38808</c:v>
                </c:pt>
                <c:pt idx="27">
                  <c:v>38899</c:v>
                </c:pt>
                <c:pt idx="28">
                  <c:v>38991</c:v>
                </c:pt>
                <c:pt idx="29">
                  <c:v>39083</c:v>
                </c:pt>
                <c:pt idx="30">
                  <c:v>39173</c:v>
                </c:pt>
                <c:pt idx="31">
                  <c:v>39264</c:v>
                </c:pt>
                <c:pt idx="32">
                  <c:v>39356</c:v>
                </c:pt>
                <c:pt idx="33">
                  <c:v>39448</c:v>
                </c:pt>
                <c:pt idx="34">
                  <c:v>39539</c:v>
                </c:pt>
                <c:pt idx="35">
                  <c:v>39630</c:v>
                </c:pt>
                <c:pt idx="36">
                  <c:v>39722</c:v>
                </c:pt>
                <c:pt idx="37">
                  <c:v>39814</c:v>
                </c:pt>
                <c:pt idx="38">
                  <c:v>39904</c:v>
                </c:pt>
                <c:pt idx="39">
                  <c:v>39995</c:v>
                </c:pt>
                <c:pt idx="40">
                  <c:v>40087</c:v>
                </c:pt>
                <c:pt idx="41">
                  <c:v>40179</c:v>
                </c:pt>
                <c:pt idx="42">
                  <c:v>40269</c:v>
                </c:pt>
                <c:pt idx="43">
                  <c:v>40360</c:v>
                </c:pt>
                <c:pt idx="44">
                  <c:v>40452</c:v>
                </c:pt>
                <c:pt idx="45">
                  <c:v>40544</c:v>
                </c:pt>
                <c:pt idx="46">
                  <c:v>40634</c:v>
                </c:pt>
                <c:pt idx="47">
                  <c:v>40725</c:v>
                </c:pt>
                <c:pt idx="48">
                  <c:v>40817</c:v>
                </c:pt>
                <c:pt idx="49">
                  <c:v>40909</c:v>
                </c:pt>
                <c:pt idx="50">
                  <c:v>41000</c:v>
                </c:pt>
                <c:pt idx="51">
                  <c:v>41091</c:v>
                </c:pt>
                <c:pt idx="52">
                  <c:v>41183</c:v>
                </c:pt>
                <c:pt idx="53">
                  <c:v>41275</c:v>
                </c:pt>
                <c:pt idx="54">
                  <c:v>41365</c:v>
                </c:pt>
                <c:pt idx="55">
                  <c:v>41456</c:v>
                </c:pt>
                <c:pt idx="56">
                  <c:v>41548</c:v>
                </c:pt>
                <c:pt idx="57">
                  <c:v>41640</c:v>
                </c:pt>
                <c:pt idx="58">
                  <c:v>41730</c:v>
                </c:pt>
                <c:pt idx="59">
                  <c:v>41821</c:v>
                </c:pt>
                <c:pt idx="60">
                  <c:v>41913</c:v>
                </c:pt>
                <c:pt idx="61">
                  <c:v>42005</c:v>
                </c:pt>
                <c:pt idx="62">
                  <c:v>42095</c:v>
                </c:pt>
                <c:pt idx="63">
                  <c:v>42186</c:v>
                </c:pt>
                <c:pt idx="64">
                  <c:v>42278</c:v>
                </c:pt>
                <c:pt idx="65">
                  <c:v>42370</c:v>
                </c:pt>
                <c:pt idx="66">
                  <c:v>42461</c:v>
                </c:pt>
                <c:pt idx="67">
                  <c:v>42552</c:v>
                </c:pt>
                <c:pt idx="68">
                  <c:v>42644</c:v>
                </c:pt>
                <c:pt idx="69">
                  <c:v>42736</c:v>
                </c:pt>
                <c:pt idx="70">
                  <c:v>42826</c:v>
                </c:pt>
                <c:pt idx="71">
                  <c:v>42917</c:v>
                </c:pt>
                <c:pt idx="72">
                  <c:v>43009</c:v>
                </c:pt>
                <c:pt idx="73">
                  <c:v>43101</c:v>
                </c:pt>
                <c:pt idx="74">
                  <c:v>43191</c:v>
                </c:pt>
                <c:pt idx="75">
                  <c:v>43282</c:v>
                </c:pt>
                <c:pt idx="76">
                  <c:v>43374</c:v>
                </c:pt>
                <c:pt idx="77">
                  <c:v>43466</c:v>
                </c:pt>
                <c:pt idx="78">
                  <c:v>43556</c:v>
                </c:pt>
                <c:pt idx="79">
                  <c:v>43647</c:v>
                </c:pt>
                <c:pt idx="80">
                  <c:v>43739</c:v>
                </c:pt>
                <c:pt idx="81">
                  <c:v>43831</c:v>
                </c:pt>
                <c:pt idx="82">
                  <c:v>43922</c:v>
                </c:pt>
                <c:pt idx="83">
                  <c:v>44013</c:v>
                </c:pt>
                <c:pt idx="84">
                  <c:v>44105</c:v>
                </c:pt>
                <c:pt idx="85">
                  <c:v>44197</c:v>
                </c:pt>
                <c:pt idx="86">
                  <c:v>44287</c:v>
                </c:pt>
                <c:pt idx="87">
                  <c:v>44378</c:v>
                </c:pt>
                <c:pt idx="88">
                  <c:v>44470</c:v>
                </c:pt>
              </c:numCache>
            </c:numRef>
          </c:cat>
          <c:val>
            <c:numRef>
              <c:f>'Fig4'!$B$3:$B$130</c:f>
              <c:numCache>
                <c:formatCode>General</c:formatCode>
                <c:ptCount val="89"/>
                <c:pt idx="0">
                  <c:v>3</c:v>
                </c:pt>
                <c:pt idx="1">
                  <c:v>-8</c:v>
                </c:pt>
                <c:pt idx="2">
                  <c:v>-10</c:v>
                </c:pt>
                <c:pt idx="3">
                  <c:v>-11</c:v>
                </c:pt>
                <c:pt idx="4">
                  <c:v>-10</c:v>
                </c:pt>
                <c:pt idx="5">
                  <c:v>-1</c:v>
                </c:pt>
                <c:pt idx="6">
                  <c:v>-1</c:v>
                </c:pt>
                <c:pt idx="7">
                  <c:v>-3</c:v>
                </c:pt>
                <c:pt idx="8">
                  <c:v>-7</c:v>
                </c:pt>
                <c:pt idx="9">
                  <c:v>-9</c:v>
                </c:pt>
                <c:pt idx="10">
                  <c:v>-8</c:v>
                </c:pt>
                <c:pt idx="11">
                  <c:v>-5</c:v>
                </c:pt>
                <c:pt idx="12">
                  <c:v>2</c:v>
                </c:pt>
                <c:pt idx="13">
                  <c:v>3</c:v>
                </c:pt>
                <c:pt idx="14">
                  <c:v>6</c:v>
                </c:pt>
                <c:pt idx="15">
                  <c:v>4</c:v>
                </c:pt>
                <c:pt idx="16">
                  <c:v>3</c:v>
                </c:pt>
                <c:pt idx="17">
                  <c:v>4</c:v>
                </c:pt>
                <c:pt idx="18">
                  <c:v>1</c:v>
                </c:pt>
                <c:pt idx="19">
                  <c:v>3</c:v>
                </c:pt>
                <c:pt idx="20">
                  <c:v>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1</c:v>
                </c:pt>
                <c:pt idx="25">
                  <c:v>4</c:v>
                </c:pt>
                <c:pt idx="26">
                  <c:v>8</c:v>
                </c:pt>
                <c:pt idx="27">
                  <c:v>7</c:v>
                </c:pt>
                <c:pt idx="28">
                  <c:v>9</c:v>
                </c:pt>
                <c:pt idx="29">
                  <c:v>13</c:v>
                </c:pt>
                <c:pt idx="30">
                  <c:v>11</c:v>
                </c:pt>
                <c:pt idx="31">
                  <c:v>16</c:v>
                </c:pt>
                <c:pt idx="32">
                  <c:v>12</c:v>
                </c:pt>
                <c:pt idx="33">
                  <c:v>5</c:v>
                </c:pt>
                <c:pt idx="34">
                  <c:v>2</c:v>
                </c:pt>
                <c:pt idx="35">
                  <c:v>-5</c:v>
                </c:pt>
                <c:pt idx="36">
                  <c:v>-12</c:v>
                </c:pt>
                <c:pt idx="37">
                  <c:v>-8</c:v>
                </c:pt>
                <c:pt idx="38">
                  <c:v>-7</c:v>
                </c:pt>
                <c:pt idx="39">
                  <c:v>-4</c:v>
                </c:pt>
                <c:pt idx="40">
                  <c:v>4</c:v>
                </c:pt>
                <c:pt idx="41">
                  <c:v>11</c:v>
                </c:pt>
                <c:pt idx="42">
                  <c:v>18</c:v>
                </c:pt>
                <c:pt idx="43">
                  <c:v>18</c:v>
                </c:pt>
                <c:pt idx="44">
                  <c:v>23</c:v>
                </c:pt>
                <c:pt idx="45">
                  <c:v>25</c:v>
                </c:pt>
                <c:pt idx="46">
                  <c:v>22</c:v>
                </c:pt>
                <c:pt idx="47">
                  <c:v>27</c:v>
                </c:pt>
                <c:pt idx="48">
                  <c:v>28</c:v>
                </c:pt>
                <c:pt idx="49">
                  <c:v>8</c:v>
                </c:pt>
                <c:pt idx="50">
                  <c:v>4</c:v>
                </c:pt>
                <c:pt idx="51">
                  <c:v>5</c:v>
                </c:pt>
                <c:pt idx="52">
                  <c:v>5</c:v>
                </c:pt>
                <c:pt idx="53">
                  <c:v>45</c:v>
                </c:pt>
                <c:pt idx="54">
                  <c:v>48</c:v>
                </c:pt>
                <c:pt idx="55">
                  <c:v>52</c:v>
                </c:pt>
                <c:pt idx="56">
                  <c:v>51</c:v>
                </c:pt>
                <c:pt idx="57">
                  <c:v>39</c:v>
                </c:pt>
                <c:pt idx="58">
                  <c:v>44</c:v>
                </c:pt>
                <c:pt idx="59">
                  <c:v>40</c:v>
                </c:pt>
                <c:pt idx="60">
                  <c:v>42</c:v>
                </c:pt>
                <c:pt idx="61">
                  <c:v>62</c:v>
                </c:pt>
                <c:pt idx="62">
                  <c:v>58</c:v>
                </c:pt>
                <c:pt idx="63">
                  <c:v>55</c:v>
                </c:pt>
                <c:pt idx="64">
                  <c:v>72</c:v>
                </c:pt>
                <c:pt idx="65">
                  <c:v>100</c:v>
                </c:pt>
                <c:pt idx="66">
                  <c:v>106</c:v>
                </c:pt>
                <c:pt idx="67">
                  <c:v>110</c:v>
                </c:pt>
                <c:pt idx="68">
                  <c:v>97</c:v>
                </c:pt>
                <c:pt idx="69">
                  <c:v>106</c:v>
                </c:pt>
                <c:pt idx="70">
                  <c:v>104</c:v>
                </c:pt>
                <c:pt idx="71">
                  <c:v>105</c:v>
                </c:pt>
                <c:pt idx="72">
                  <c:v>98</c:v>
                </c:pt>
                <c:pt idx="73">
                  <c:v>130</c:v>
                </c:pt>
                <c:pt idx="74">
                  <c:v>125</c:v>
                </c:pt>
                <c:pt idx="75">
                  <c:v>130</c:v>
                </c:pt>
                <c:pt idx="76">
                  <c:v>132</c:v>
                </c:pt>
                <c:pt idx="77">
                  <c:v>78</c:v>
                </c:pt>
                <c:pt idx="78">
                  <c:v>81</c:v>
                </c:pt>
                <c:pt idx="79">
                  <c:v>76</c:v>
                </c:pt>
                <c:pt idx="80">
                  <c:v>78</c:v>
                </c:pt>
                <c:pt idx="81">
                  <c:v>-34</c:v>
                </c:pt>
                <c:pt idx="82">
                  <c:v>-114</c:v>
                </c:pt>
                <c:pt idx="83">
                  <c:v>-108</c:v>
                </c:pt>
                <c:pt idx="84">
                  <c:v>-106</c:v>
                </c:pt>
                <c:pt idx="85">
                  <c:v>-37</c:v>
                </c:pt>
                <c:pt idx="86">
                  <c:v>76</c:v>
                </c:pt>
                <c:pt idx="87">
                  <c:v>65</c:v>
                </c:pt>
                <c:pt idx="88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73-41E8-BE67-EC861450AF94}"/>
            </c:ext>
          </c:extLst>
        </c:ser>
        <c:ser>
          <c:idx val="1"/>
          <c:order val="1"/>
          <c:tx>
            <c:strRef>
              <c:f>'Fig4'!$C$2</c:f>
              <c:strCache>
                <c:ptCount val="1"/>
                <c:pt idx="0">
                  <c:v>Emerging Market and Developing Economies</c:v>
                </c:pt>
              </c:strCache>
            </c:strRef>
          </c:tx>
          <c:spPr>
            <a:pattFill prst="ltDnDiag">
              <a:fgClr>
                <a:srgbClr val="C00000"/>
              </a:fgClr>
              <a:bgClr>
                <a:srgbClr val="FFFFFF"/>
              </a:bgClr>
            </a:patt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numRef>
              <c:f>'Fig4'!$A$3:$A$130</c:f>
              <c:numCache>
                <c:formatCode>mmm\-yy</c:formatCode>
                <c:ptCount val="89"/>
                <c:pt idx="0">
                  <c:v>36434</c:v>
                </c:pt>
                <c:pt idx="1">
                  <c:v>36526</c:v>
                </c:pt>
                <c:pt idx="2">
                  <c:v>36617</c:v>
                </c:pt>
                <c:pt idx="3">
                  <c:v>36708</c:v>
                </c:pt>
                <c:pt idx="4">
                  <c:v>36800</c:v>
                </c:pt>
                <c:pt idx="5">
                  <c:v>36892</c:v>
                </c:pt>
                <c:pt idx="6">
                  <c:v>36982</c:v>
                </c:pt>
                <c:pt idx="7">
                  <c:v>37073</c:v>
                </c:pt>
                <c:pt idx="8">
                  <c:v>37165</c:v>
                </c:pt>
                <c:pt idx="9">
                  <c:v>37257</c:v>
                </c:pt>
                <c:pt idx="10">
                  <c:v>37347</c:v>
                </c:pt>
                <c:pt idx="11">
                  <c:v>37438</c:v>
                </c:pt>
                <c:pt idx="12">
                  <c:v>37530</c:v>
                </c:pt>
                <c:pt idx="13">
                  <c:v>37622</c:v>
                </c:pt>
                <c:pt idx="14">
                  <c:v>37712</c:v>
                </c:pt>
                <c:pt idx="15">
                  <c:v>37803</c:v>
                </c:pt>
                <c:pt idx="16">
                  <c:v>37895</c:v>
                </c:pt>
                <c:pt idx="17">
                  <c:v>37987</c:v>
                </c:pt>
                <c:pt idx="18">
                  <c:v>38078</c:v>
                </c:pt>
                <c:pt idx="19">
                  <c:v>38169</c:v>
                </c:pt>
                <c:pt idx="20">
                  <c:v>38261</c:v>
                </c:pt>
                <c:pt idx="21">
                  <c:v>38353</c:v>
                </c:pt>
                <c:pt idx="22">
                  <c:v>38443</c:v>
                </c:pt>
                <c:pt idx="23">
                  <c:v>38534</c:v>
                </c:pt>
                <c:pt idx="24">
                  <c:v>38626</c:v>
                </c:pt>
                <c:pt idx="25">
                  <c:v>38718</c:v>
                </c:pt>
                <c:pt idx="26">
                  <c:v>38808</c:v>
                </c:pt>
                <c:pt idx="27">
                  <c:v>38899</c:v>
                </c:pt>
                <c:pt idx="28">
                  <c:v>38991</c:v>
                </c:pt>
                <c:pt idx="29">
                  <c:v>39083</c:v>
                </c:pt>
                <c:pt idx="30">
                  <c:v>39173</c:v>
                </c:pt>
                <c:pt idx="31">
                  <c:v>39264</c:v>
                </c:pt>
                <c:pt idx="32">
                  <c:v>39356</c:v>
                </c:pt>
                <c:pt idx="33">
                  <c:v>39448</c:v>
                </c:pt>
                <c:pt idx="34">
                  <c:v>39539</c:v>
                </c:pt>
                <c:pt idx="35">
                  <c:v>39630</c:v>
                </c:pt>
                <c:pt idx="36">
                  <c:v>39722</c:v>
                </c:pt>
                <c:pt idx="37">
                  <c:v>39814</c:v>
                </c:pt>
                <c:pt idx="38">
                  <c:v>39904</c:v>
                </c:pt>
                <c:pt idx="39">
                  <c:v>39995</c:v>
                </c:pt>
                <c:pt idx="40">
                  <c:v>40087</c:v>
                </c:pt>
                <c:pt idx="41">
                  <c:v>40179</c:v>
                </c:pt>
                <c:pt idx="42">
                  <c:v>40269</c:v>
                </c:pt>
                <c:pt idx="43">
                  <c:v>40360</c:v>
                </c:pt>
                <c:pt idx="44">
                  <c:v>40452</c:v>
                </c:pt>
                <c:pt idx="45">
                  <c:v>40544</c:v>
                </c:pt>
                <c:pt idx="46">
                  <c:v>40634</c:v>
                </c:pt>
                <c:pt idx="47">
                  <c:v>40725</c:v>
                </c:pt>
                <c:pt idx="48">
                  <c:v>40817</c:v>
                </c:pt>
                <c:pt idx="49">
                  <c:v>40909</c:v>
                </c:pt>
                <c:pt idx="50">
                  <c:v>41000</c:v>
                </c:pt>
                <c:pt idx="51">
                  <c:v>41091</c:v>
                </c:pt>
                <c:pt idx="52">
                  <c:v>41183</c:v>
                </c:pt>
                <c:pt idx="53">
                  <c:v>41275</c:v>
                </c:pt>
                <c:pt idx="54">
                  <c:v>41365</c:v>
                </c:pt>
                <c:pt idx="55">
                  <c:v>41456</c:v>
                </c:pt>
                <c:pt idx="56">
                  <c:v>41548</c:v>
                </c:pt>
                <c:pt idx="57">
                  <c:v>41640</c:v>
                </c:pt>
                <c:pt idx="58">
                  <c:v>41730</c:v>
                </c:pt>
                <c:pt idx="59">
                  <c:v>41821</c:v>
                </c:pt>
                <c:pt idx="60">
                  <c:v>41913</c:v>
                </c:pt>
                <c:pt idx="61">
                  <c:v>42005</c:v>
                </c:pt>
                <c:pt idx="62">
                  <c:v>42095</c:v>
                </c:pt>
                <c:pt idx="63">
                  <c:v>42186</c:v>
                </c:pt>
                <c:pt idx="64">
                  <c:v>42278</c:v>
                </c:pt>
                <c:pt idx="65">
                  <c:v>42370</c:v>
                </c:pt>
                <c:pt idx="66">
                  <c:v>42461</c:v>
                </c:pt>
                <c:pt idx="67">
                  <c:v>42552</c:v>
                </c:pt>
                <c:pt idx="68">
                  <c:v>42644</c:v>
                </c:pt>
                <c:pt idx="69">
                  <c:v>42736</c:v>
                </c:pt>
                <c:pt idx="70">
                  <c:v>42826</c:v>
                </c:pt>
                <c:pt idx="71">
                  <c:v>42917</c:v>
                </c:pt>
                <c:pt idx="72">
                  <c:v>43009</c:v>
                </c:pt>
                <c:pt idx="73">
                  <c:v>43101</c:v>
                </c:pt>
                <c:pt idx="74">
                  <c:v>43191</c:v>
                </c:pt>
                <c:pt idx="75">
                  <c:v>43282</c:v>
                </c:pt>
                <c:pt idx="76">
                  <c:v>43374</c:v>
                </c:pt>
                <c:pt idx="77">
                  <c:v>43466</c:v>
                </c:pt>
                <c:pt idx="78">
                  <c:v>43556</c:v>
                </c:pt>
                <c:pt idx="79">
                  <c:v>43647</c:v>
                </c:pt>
                <c:pt idx="80">
                  <c:v>43739</c:v>
                </c:pt>
                <c:pt idx="81">
                  <c:v>43831</c:v>
                </c:pt>
                <c:pt idx="82">
                  <c:v>43922</c:v>
                </c:pt>
                <c:pt idx="83">
                  <c:v>44013</c:v>
                </c:pt>
                <c:pt idx="84">
                  <c:v>44105</c:v>
                </c:pt>
                <c:pt idx="85">
                  <c:v>44197</c:v>
                </c:pt>
                <c:pt idx="86">
                  <c:v>44287</c:v>
                </c:pt>
                <c:pt idx="87">
                  <c:v>44378</c:v>
                </c:pt>
                <c:pt idx="88">
                  <c:v>44470</c:v>
                </c:pt>
              </c:numCache>
            </c:numRef>
          </c:cat>
          <c:val>
            <c:numRef>
              <c:f>'Fig4'!$C$3:$C$130</c:f>
              <c:numCache>
                <c:formatCode>General</c:formatCode>
                <c:ptCount val="89"/>
                <c:pt idx="0">
                  <c:v>-2</c:v>
                </c:pt>
                <c:pt idx="1">
                  <c:v>7</c:v>
                </c:pt>
                <c:pt idx="2">
                  <c:v>5</c:v>
                </c:pt>
                <c:pt idx="3">
                  <c:v>12</c:v>
                </c:pt>
                <c:pt idx="4">
                  <c:v>10</c:v>
                </c:pt>
                <c:pt idx="5">
                  <c:v>4</c:v>
                </c:pt>
                <c:pt idx="6">
                  <c:v>11</c:v>
                </c:pt>
                <c:pt idx="7">
                  <c:v>12</c:v>
                </c:pt>
                <c:pt idx="8">
                  <c:v>8</c:v>
                </c:pt>
                <c:pt idx="9">
                  <c:v>8</c:v>
                </c:pt>
                <c:pt idx="10">
                  <c:v>4</c:v>
                </c:pt>
                <c:pt idx="11">
                  <c:v>1</c:v>
                </c:pt>
                <c:pt idx="12">
                  <c:v>3</c:v>
                </c:pt>
                <c:pt idx="13">
                  <c:v>5</c:v>
                </c:pt>
                <c:pt idx="14">
                  <c:v>6</c:v>
                </c:pt>
                <c:pt idx="15">
                  <c:v>7</c:v>
                </c:pt>
                <c:pt idx="16">
                  <c:v>13</c:v>
                </c:pt>
                <c:pt idx="17">
                  <c:v>23</c:v>
                </c:pt>
                <c:pt idx="18">
                  <c:v>22</c:v>
                </c:pt>
                <c:pt idx="19">
                  <c:v>33</c:v>
                </c:pt>
                <c:pt idx="20">
                  <c:v>44</c:v>
                </c:pt>
                <c:pt idx="21">
                  <c:v>36</c:v>
                </c:pt>
                <c:pt idx="22">
                  <c:v>48</c:v>
                </c:pt>
                <c:pt idx="23">
                  <c:v>40</c:v>
                </c:pt>
                <c:pt idx="24">
                  <c:v>35</c:v>
                </c:pt>
                <c:pt idx="25">
                  <c:v>42</c:v>
                </c:pt>
                <c:pt idx="26">
                  <c:v>40</c:v>
                </c:pt>
                <c:pt idx="27">
                  <c:v>44</c:v>
                </c:pt>
                <c:pt idx="28">
                  <c:v>41</c:v>
                </c:pt>
                <c:pt idx="29">
                  <c:v>40</c:v>
                </c:pt>
                <c:pt idx="30">
                  <c:v>37</c:v>
                </c:pt>
                <c:pt idx="31">
                  <c:v>41</c:v>
                </c:pt>
                <c:pt idx="32">
                  <c:v>42</c:v>
                </c:pt>
                <c:pt idx="33">
                  <c:v>54</c:v>
                </c:pt>
                <c:pt idx="34">
                  <c:v>65</c:v>
                </c:pt>
                <c:pt idx="35">
                  <c:v>66</c:v>
                </c:pt>
                <c:pt idx="36">
                  <c:v>42</c:v>
                </c:pt>
                <c:pt idx="37">
                  <c:v>13</c:v>
                </c:pt>
                <c:pt idx="38">
                  <c:v>-9</c:v>
                </c:pt>
                <c:pt idx="39">
                  <c:v>-26</c:v>
                </c:pt>
                <c:pt idx="40">
                  <c:v>-6</c:v>
                </c:pt>
                <c:pt idx="41">
                  <c:v>17</c:v>
                </c:pt>
                <c:pt idx="42">
                  <c:v>37</c:v>
                </c:pt>
                <c:pt idx="43">
                  <c:v>60</c:v>
                </c:pt>
                <c:pt idx="44">
                  <c:v>76</c:v>
                </c:pt>
                <c:pt idx="45">
                  <c:v>96</c:v>
                </c:pt>
                <c:pt idx="46">
                  <c:v>96</c:v>
                </c:pt>
                <c:pt idx="47">
                  <c:v>86</c:v>
                </c:pt>
                <c:pt idx="48">
                  <c:v>84</c:v>
                </c:pt>
                <c:pt idx="49">
                  <c:v>55</c:v>
                </c:pt>
                <c:pt idx="50">
                  <c:v>49</c:v>
                </c:pt>
                <c:pt idx="51">
                  <c:v>47</c:v>
                </c:pt>
                <c:pt idx="52">
                  <c:v>35</c:v>
                </c:pt>
                <c:pt idx="53">
                  <c:v>50</c:v>
                </c:pt>
                <c:pt idx="54">
                  <c:v>46</c:v>
                </c:pt>
                <c:pt idx="55">
                  <c:v>49</c:v>
                </c:pt>
                <c:pt idx="56">
                  <c:v>60</c:v>
                </c:pt>
                <c:pt idx="57">
                  <c:v>59</c:v>
                </c:pt>
                <c:pt idx="58">
                  <c:v>63</c:v>
                </c:pt>
                <c:pt idx="59">
                  <c:v>65</c:v>
                </c:pt>
                <c:pt idx="60">
                  <c:v>62</c:v>
                </c:pt>
                <c:pt idx="61">
                  <c:v>70</c:v>
                </c:pt>
                <c:pt idx="62">
                  <c:v>74</c:v>
                </c:pt>
                <c:pt idx="63">
                  <c:v>66</c:v>
                </c:pt>
                <c:pt idx="64">
                  <c:v>73</c:v>
                </c:pt>
                <c:pt idx="65">
                  <c:v>99</c:v>
                </c:pt>
                <c:pt idx="66">
                  <c:v>97</c:v>
                </c:pt>
                <c:pt idx="67">
                  <c:v>114</c:v>
                </c:pt>
                <c:pt idx="68">
                  <c:v>105</c:v>
                </c:pt>
                <c:pt idx="69">
                  <c:v>97</c:v>
                </c:pt>
                <c:pt idx="70">
                  <c:v>98</c:v>
                </c:pt>
                <c:pt idx="71">
                  <c:v>91</c:v>
                </c:pt>
                <c:pt idx="72">
                  <c:v>85</c:v>
                </c:pt>
                <c:pt idx="73">
                  <c:v>158</c:v>
                </c:pt>
                <c:pt idx="74">
                  <c:v>155</c:v>
                </c:pt>
                <c:pt idx="75">
                  <c:v>164</c:v>
                </c:pt>
                <c:pt idx="76">
                  <c:v>188</c:v>
                </c:pt>
                <c:pt idx="77">
                  <c:v>136</c:v>
                </c:pt>
                <c:pt idx="78">
                  <c:v>141</c:v>
                </c:pt>
                <c:pt idx="79">
                  <c:v>122</c:v>
                </c:pt>
                <c:pt idx="80">
                  <c:v>101</c:v>
                </c:pt>
                <c:pt idx="81">
                  <c:v>-8</c:v>
                </c:pt>
                <c:pt idx="82">
                  <c:v>-116</c:v>
                </c:pt>
                <c:pt idx="83">
                  <c:v>-138</c:v>
                </c:pt>
                <c:pt idx="84">
                  <c:v>-146</c:v>
                </c:pt>
                <c:pt idx="85">
                  <c:v>-87</c:v>
                </c:pt>
                <c:pt idx="86">
                  <c:v>11</c:v>
                </c:pt>
                <c:pt idx="87">
                  <c:v>38</c:v>
                </c:pt>
                <c:pt idx="88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73-41E8-BE67-EC861450AF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18286928"/>
        <c:axId val="1167256320"/>
      </c:barChart>
      <c:dateAx>
        <c:axId val="1218286928"/>
        <c:scaling>
          <c:orientation val="minMax"/>
        </c:scaling>
        <c:delete val="0"/>
        <c:axPos val="b"/>
        <c:numFmt formatCode="mmm\-yy" sourceLinked="1"/>
        <c:majorTickMark val="in"/>
        <c:minorTickMark val="none"/>
        <c:tickLblPos val="low"/>
        <c:spPr>
          <a:noFill/>
          <a:ln w="3175" cap="flat" cmpd="sng" algn="ctr">
            <a:solidFill>
              <a:srgbClr val="B3B3B3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67256320"/>
        <c:crosses val="autoZero"/>
        <c:auto val="1"/>
        <c:lblOffset val="100"/>
        <c:baseTimeUnit val="months"/>
      </c:dateAx>
      <c:valAx>
        <c:axId val="1167256320"/>
        <c:scaling>
          <c:orientation val="minMax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3175">
            <a:solidFill>
              <a:srgbClr val="B3B3B3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18286928"/>
        <c:crosses val="autoZero"/>
        <c:crossBetween val="between"/>
      </c:valAx>
      <c:spPr>
        <a:solidFill>
          <a:srgbClr val="FFFFFF"/>
        </a:solidFill>
        <a:ln w="3175">
          <a:solidFill>
            <a:srgbClr val="B3B3B3"/>
          </a:solidFill>
          <a:prstDash val="solid"/>
        </a:ln>
        <a:effectLst/>
      </c:spPr>
    </c:plotArea>
    <c:legend>
      <c:legendPos val="t"/>
      <c:layout>
        <c:manualLayout>
          <c:xMode val="edge"/>
          <c:yMode val="edge"/>
          <c:x val="8.0204330104508642E-2"/>
          <c:y val="5.2713178294573643E-2"/>
          <c:w val="0.48734405597843455"/>
          <c:h val="0.16056158074580301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 sz="16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17</xdr:row>
      <xdr:rowOff>0</xdr:rowOff>
    </xdr:from>
    <xdr:to>
      <xdr:col>17</xdr:col>
      <xdr:colOff>438150</xdr:colOff>
      <xdr:row>26</xdr:row>
      <xdr:rowOff>148168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3AF31D8-2BBE-4693-A9F2-A503EBC78367}"/>
            </a:ext>
          </a:extLst>
        </xdr:cNvPr>
        <xdr:cNvSpPr txBox="1"/>
      </xdr:nvSpPr>
      <xdr:spPr>
        <a:xfrm>
          <a:off x="6138333" y="3238500"/>
          <a:ext cx="4734984" cy="1862668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Figure 1: Number of economies that have used macroprudential</a:t>
          </a:r>
          <a:r>
            <a:rPr lang="en-US" sz="1100" b="1" baseline="0"/>
            <a:t> policy</a:t>
          </a:r>
        </a:p>
        <a:p>
          <a:r>
            <a:rPr lang="en-US" sz="1100" b="0" baseline="0"/>
            <a:t>(Except for reserve requirements)</a:t>
          </a:r>
        </a:p>
        <a:p>
          <a:endParaRPr lang="en-US" sz="1100" baseline="0"/>
        </a:p>
        <a:p>
          <a:r>
            <a:rPr lang="en-US" sz="1100" b="1" baseline="0"/>
            <a:t>Reference:</a:t>
          </a:r>
        </a:p>
        <a:p>
          <a:r>
            <a:rPr lang="en-US" sz="1100" baseline="0"/>
            <a:t>Alam, Zohair, Adrian Alter, Jesse Eiseman, Gaston Gelos, Heedon Kang, </a:t>
          </a:r>
        </a:p>
        <a:p>
          <a:r>
            <a:rPr lang="en-US" sz="1100" baseline="0"/>
            <a:t>Machiko Narita, Erlend Nier, and Naixi Wang, 2019, "Digging Deeper </a:t>
          </a:r>
        </a:p>
        <a:p>
          <a:r>
            <a:rPr lang="en-US" sz="1100" baseline="0"/>
            <a:t>– Evidence on the Effects of Macroprudential Policies from a New Database" IMF Working Paper WP/19/66. (www.imf.org/iMaPP)</a:t>
          </a:r>
        </a:p>
        <a:p>
          <a:endParaRPr lang="en-US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Source code: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iMaPP_Fig123.do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10</xdr:col>
      <xdr:colOff>0</xdr:colOff>
      <xdr:row>3</xdr:row>
      <xdr:rowOff>0</xdr:rowOff>
    </xdr:from>
    <xdr:to>
      <xdr:col>18</xdr:col>
      <xdr:colOff>7056</xdr:colOff>
      <xdr:row>16</xdr:row>
      <xdr:rowOff>28222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D7769E0-DDE1-4388-9CAB-908AAABEDB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171450</xdr:rowOff>
    </xdr:from>
    <xdr:to>
      <xdr:col>6</xdr:col>
      <xdr:colOff>9526</xdr:colOff>
      <xdr:row>35</xdr:row>
      <xdr:rowOff>28576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327E560-3F7A-427B-96D7-0D4337B076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571500</xdr:colOff>
      <xdr:row>18</xdr:row>
      <xdr:rowOff>0</xdr:rowOff>
    </xdr:from>
    <xdr:to>
      <xdr:col>11</xdr:col>
      <xdr:colOff>523876</xdr:colOff>
      <xdr:row>35</xdr:row>
      <xdr:rowOff>28576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C754EED6-BF58-4B18-BA2E-3D1395B6F7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35</xdr:row>
      <xdr:rowOff>0</xdr:rowOff>
    </xdr:from>
    <xdr:to>
      <xdr:col>5</xdr:col>
      <xdr:colOff>495300</xdr:colOff>
      <xdr:row>37</xdr:row>
      <xdr:rowOff>57151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4037D3A7-8A3A-4CA4-B72F-507C0068B214}"/>
            </a:ext>
          </a:extLst>
        </xdr:cNvPr>
        <xdr:cNvSpPr txBox="1"/>
      </xdr:nvSpPr>
      <xdr:spPr>
        <a:xfrm>
          <a:off x="0" y="7048500"/>
          <a:ext cx="3627967" cy="438151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 rtl="0"/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 of instruments: AEs</a:t>
          </a:r>
          <a:endParaRPr lang="en-US">
            <a:effectLst/>
          </a:endParaRPr>
        </a:p>
        <a:p>
          <a:pPr algn="ctr" rtl="0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(number of countries, Dec 2016)</a:t>
          </a:r>
          <a:endParaRPr lang="en-US">
            <a:effectLst/>
          </a:endParaRPr>
        </a:p>
      </xdr:txBody>
    </xdr:sp>
    <xdr:clientData/>
  </xdr:twoCellAnchor>
  <xdr:twoCellAnchor>
    <xdr:from>
      <xdr:col>6</xdr:col>
      <xdr:colOff>1</xdr:colOff>
      <xdr:row>35</xdr:row>
      <xdr:rowOff>0</xdr:rowOff>
    </xdr:from>
    <xdr:to>
      <xdr:col>11</xdr:col>
      <xdr:colOff>561976</xdr:colOff>
      <xdr:row>37</xdr:row>
      <xdr:rowOff>57151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8A08EA3-A4C3-414B-A269-55F9BB6CE1E0}"/>
            </a:ext>
          </a:extLst>
        </xdr:cNvPr>
        <xdr:cNvSpPr txBox="1"/>
      </xdr:nvSpPr>
      <xdr:spPr>
        <a:xfrm>
          <a:off x="3741965" y="7048500"/>
          <a:ext cx="3623582" cy="438151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 rtl="0"/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 of instruments: EMDEs</a:t>
          </a:r>
          <a:endParaRPr lang="en-US">
            <a:effectLst/>
          </a:endParaRPr>
        </a:p>
        <a:p>
          <a:pPr algn="ctr" rtl="0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(number of countries, Dec 2016)</a:t>
          </a:r>
          <a:endParaRPr lang="en-US">
            <a:effectLst/>
          </a:endParaRPr>
        </a:p>
      </xdr:txBody>
    </xdr:sp>
    <xdr:clientData/>
  </xdr:twoCellAnchor>
  <xdr:twoCellAnchor>
    <xdr:from>
      <xdr:col>12</xdr:col>
      <xdr:colOff>0</xdr:colOff>
      <xdr:row>16</xdr:row>
      <xdr:rowOff>190499</xdr:rowOff>
    </xdr:from>
    <xdr:to>
      <xdr:col>19</xdr:col>
      <xdr:colOff>9525</xdr:colOff>
      <xdr:row>51</xdr:row>
      <xdr:rowOff>84666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587D3AB4-5599-44C8-BF37-13CD5503D69F}"/>
            </a:ext>
          </a:extLst>
        </xdr:cNvPr>
        <xdr:cNvSpPr txBox="1"/>
      </xdr:nvSpPr>
      <xdr:spPr>
        <a:xfrm>
          <a:off x="7429500" y="3619499"/>
          <a:ext cx="4306358" cy="6561667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 rtl="0"/>
          <a:r>
            <a:rPr lang="en-US" sz="11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Figure 2: Ranking of the top-used instruments</a:t>
          </a:r>
        </a:p>
        <a:p>
          <a:pPr rtl="0"/>
          <a:endParaRPr lang="en-US" sz="1100" b="1" i="0" u="sng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r>
            <a:rPr lang="en-US" sz="11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Instructions (last updated on August 27, 2021):</a:t>
          </a:r>
        </a:p>
        <a:p>
          <a:pPr rtl="0"/>
          <a:endParaRPr lang="en-US" sz="1100" b="1" i="0" u="sng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Modify the links in lines 4-6, 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you want to change the reference date. If you want to change the countries, </a:t>
          </a: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modify Stata code (iMaPP_Fig123.do) 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</a:t>
          </a: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run it to save new results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sheet with orange tabs.</a:t>
          </a:r>
        </a:p>
        <a:p>
          <a:pPr rtl="0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Suppose that you changed any in step 1. Then, in order to sort the instruments by the number of the countries that have ever used them, please do the following:</a:t>
          </a:r>
        </a:p>
        <a:p>
          <a:pPr rtl="0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a. </a:t>
          </a: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Copy labels (line 3)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and </a:t>
          </a: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paste </a:t>
          </a:r>
          <a:r>
            <a:rPr lang="en-US" sz="11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values</a:t>
          </a: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lines 9, 12, and 15.</a:t>
          </a:r>
        </a:p>
        <a:p>
          <a:pPr rtl="0"/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"All"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b. </a:t>
          </a: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Copy the results (line 4)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and </a:t>
          </a: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paste </a:t>
          </a:r>
          <a:r>
            <a:rPr lang="en-US" sz="11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values</a:t>
          </a: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line 10.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c. </a:t>
          </a: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 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cells B9-R10 (labels and results) and go to "Data" and 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"Sort". Then sort by results (line 10) from smallest to largest.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Please see the picture below.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 the same for "AE" and "EMDE".</a:t>
          </a:r>
          <a:endParaRPr lang="en-US" b="1">
            <a:effectLst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>
            <a:effectLst/>
          </a:endParaRPr>
        </a:p>
        <a:p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Reference:</a:t>
          </a:r>
          <a:endParaRPr lang="en-US">
            <a:effectLst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Alam, Zohair, Adrian Alter, Jesse Eiseman, Gaston Gelos, Heedon Kang, </a:t>
          </a:r>
          <a:endParaRPr lang="en-US">
            <a:effectLst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Machiko Narita, Erlend Nier, and Naixi Wang, 2019, "Digging Deeper </a:t>
          </a:r>
          <a:endParaRPr lang="en-US">
            <a:effectLst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– Evidence on the Effects of Macroprudential Policies from a New Database" IMF Working Paper WP/19/66. (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www.imf.org/iMaPP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endParaRPr lang="en-US">
            <a:effectLst/>
          </a:endParaRPr>
        </a:p>
        <a:p>
          <a:pPr rtl="0"/>
          <a:endParaRPr lang="en-US" sz="1100" b="1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12</xdr:col>
      <xdr:colOff>473417</xdr:colOff>
      <xdr:row>41</xdr:row>
      <xdr:rowOff>20286</xdr:rowOff>
    </xdr:from>
    <xdr:to>
      <xdr:col>18</xdr:col>
      <xdr:colOff>130518</xdr:colOff>
      <xdr:row>51</xdr:row>
      <xdr:rowOff>21370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2DA96DF0-FE7B-45C8-A6B8-F0C5411AC0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37855" y="7870474"/>
          <a:ext cx="3324226" cy="1826709"/>
        </a:xfrm>
        <a:prstGeom prst="rect">
          <a:avLst/>
        </a:prstGeom>
        <a:solidFill>
          <a:schemeClr val="accent1"/>
        </a:solidFill>
        <a:ln>
          <a:solidFill>
            <a:srgbClr val="0070C0"/>
          </a:solidFill>
        </a:ln>
      </xdr:spPr>
    </xdr:pic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0.76906</cdr:x>
      <cdr:y>0.75409</cdr:y>
    </cdr:from>
    <cdr:to>
      <cdr:x>0.94372</cdr:x>
      <cdr:y>0.83155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BD5C532-5E56-47B4-8DB3-F619FE57463C}"/>
            </a:ext>
          </a:extLst>
        </cdr:cNvPr>
        <cdr:cNvSpPr txBox="1"/>
      </cdr:nvSpPr>
      <cdr:spPr>
        <a:xfrm xmlns:a="http://schemas.openxmlformats.org/drawingml/2006/main">
          <a:off x="2885121" y="2478035"/>
          <a:ext cx="655244" cy="25455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b="1" baseline="0">
              <a:solidFill>
                <a:schemeClr val="tx2"/>
              </a:solidFill>
              <a:latin typeface="Arial" panose="020B0604020202020204" pitchFamily="34" charset="0"/>
              <a:cs typeface="Arial" panose="020B0604020202020204" pitchFamily="34" charset="0"/>
            </a:rPr>
            <a:t>36 AEs</a:t>
          </a:r>
          <a:endParaRPr lang="en-US" sz="1100" b="1">
            <a:solidFill>
              <a:schemeClr val="tx2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0.71294</cdr:x>
      <cdr:y>0.75238</cdr:y>
    </cdr:from>
    <cdr:to>
      <cdr:x>0.95198</cdr:x>
      <cdr:y>0.8303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111F3E2-1AD4-4F2A-82B1-7AE7A870237F}"/>
            </a:ext>
          </a:extLst>
        </cdr:cNvPr>
        <cdr:cNvSpPr txBox="1"/>
      </cdr:nvSpPr>
      <cdr:spPr>
        <a:xfrm xmlns:a="http://schemas.openxmlformats.org/drawingml/2006/main">
          <a:off x="2585337" y="2458083"/>
          <a:ext cx="866840" cy="25455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b="1" baseline="0">
              <a:solidFill>
                <a:schemeClr val="tx2"/>
              </a:solidFill>
              <a:latin typeface="Arial" panose="020B0604020202020204" pitchFamily="34" charset="0"/>
              <a:cs typeface="Arial" panose="020B0604020202020204" pitchFamily="34" charset="0"/>
            </a:rPr>
            <a:t>98 EMDEs</a:t>
          </a:r>
          <a:endParaRPr lang="en-US" sz="1100" b="1">
            <a:solidFill>
              <a:schemeClr val="tx2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18</xdr:row>
      <xdr:rowOff>0</xdr:rowOff>
    </xdr:from>
    <xdr:to>
      <xdr:col>13</xdr:col>
      <xdr:colOff>47625</xdr:colOff>
      <xdr:row>35</xdr:row>
      <xdr:rowOff>28576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9682D68-0064-4B86-8F91-0B3AB01C87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18</xdr:row>
      <xdr:rowOff>6350</xdr:rowOff>
    </xdr:from>
    <xdr:to>
      <xdr:col>19</xdr:col>
      <xdr:colOff>47625</xdr:colOff>
      <xdr:row>35</xdr:row>
      <xdr:rowOff>28576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3401D7A-2321-453E-98F4-4BAABAA9A1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35</xdr:row>
      <xdr:rowOff>0</xdr:rowOff>
    </xdr:from>
    <xdr:to>
      <xdr:col>12</xdr:col>
      <xdr:colOff>561975</xdr:colOff>
      <xdr:row>37</xdr:row>
      <xdr:rowOff>57151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BDC87887-8CB7-414C-8097-25D1FF89DA57}"/>
            </a:ext>
          </a:extLst>
        </xdr:cNvPr>
        <xdr:cNvSpPr txBox="1"/>
      </xdr:nvSpPr>
      <xdr:spPr>
        <a:xfrm>
          <a:off x="4333875" y="7048500"/>
          <a:ext cx="3609975" cy="438151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 rtl="0"/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Frequency of adjustments: AEs</a:t>
          </a:r>
          <a:endParaRPr lang="en-US">
            <a:effectLst/>
          </a:endParaRPr>
        </a:p>
        <a:p>
          <a:pPr algn="ctr" rtl="0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(number of actions since Jan 2010)</a:t>
          </a:r>
          <a:endParaRPr lang="en-US">
            <a:effectLst/>
          </a:endParaRPr>
        </a:p>
      </xdr:txBody>
    </xdr:sp>
    <xdr:clientData/>
  </xdr:twoCellAnchor>
  <xdr:twoCellAnchor>
    <xdr:from>
      <xdr:col>13</xdr:col>
      <xdr:colOff>0</xdr:colOff>
      <xdr:row>35</xdr:row>
      <xdr:rowOff>0</xdr:rowOff>
    </xdr:from>
    <xdr:to>
      <xdr:col>18</xdr:col>
      <xdr:colOff>561975</xdr:colOff>
      <xdr:row>37</xdr:row>
      <xdr:rowOff>57151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120F360F-FD76-4C55-A096-17A4F42981FE}"/>
            </a:ext>
          </a:extLst>
        </xdr:cNvPr>
        <xdr:cNvSpPr txBox="1"/>
      </xdr:nvSpPr>
      <xdr:spPr>
        <a:xfrm>
          <a:off x="7991475" y="7048500"/>
          <a:ext cx="3609975" cy="438151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 rtl="0"/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Frequency of adjustments: EMDEs</a:t>
          </a:r>
          <a:endParaRPr lang="en-US">
            <a:effectLst/>
          </a:endParaRPr>
        </a:p>
        <a:p>
          <a:pPr algn="ctr" rtl="0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(number of actions since Jan 2010)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0</xdr:colOff>
      <xdr:row>16</xdr:row>
      <xdr:rowOff>190499</xdr:rowOff>
    </xdr:from>
    <xdr:to>
      <xdr:col>6</xdr:col>
      <xdr:colOff>546389</xdr:colOff>
      <xdr:row>50</xdr:row>
      <xdr:rowOff>179916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AB3D0B73-249E-4E90-9C19-9F70EEBFFAC6}"/>
            </a:ext>
          </a:extLst>
        </xdr:cNvPr>
        <xdr:cNvSpPr txBox="1"/>
      </xdr:nvSpPr>
      <xdr:spPr>
        <a:xfrm>
          <a:off x="0" y="3619499"/>
          <a:ext cx="4292889" cy="6466417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 rtl="0"/>
          <a:r>
            <a:rPr lang="en-US" sz="11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Figure 3: </a:t>
          </a: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Frequency of adjustments by instrument</a:t>
          </a:r>
          <a:endParaRPr lang="en-US">
            <a:effectLst/>
          </a:endParaRPr>
        </a:p>
        <a:p>
          <a:pPr algn="ctr" rtl="0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(number of actions since Jan 2010)</a:t>
          </a:r>
          <a:endParaRPr lang="en-US">
            <a:effectLst/>
          </a:endParaRPr>
        </a:p>
        <a:p>
          <a:pPr rtl="0"/>
          <a:endParaRPr lang="en-US" sz="1100" b="1" i="0" u="sng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r>
            <a:rPr lang="en-US" sz="11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Instructions (last updated on August 27, 2021):</a:t>
          </a:r>
        </a:p>
        <a:p>
          <a:pPr rtl="0"/>
          <a:endParaRPr lang="en-US" sz="1100" b="1" i="0" u="sng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Modify Stata code (iMaPP_Fig123.do), 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you want to change the reference date or countries and</a:t>
          </a: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run it to save new results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sheet with orange tabs.</a:t>
          </a:r>
          <a:endParaRPr lang="en-US">
            <a:effectLst/>
          </a:endParaRPr>
        </a:p>
        <a:p>
          <a:pPr rtl="0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Suppose that you changed any in step 1. Then, in order to sort the instruments by adjustment frequency, please do the following:</a:t>
          </a:r>
        </a:p>
        <a:p>
          <a:pPr rtl="0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a. </a:t>
          </a: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Copy labels (line 3)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and </a:t>
          </a: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past </a:t>
          </a:r>
          <a:r>
            <a:rPr lang="en-US" sz="11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values</a:t>
          </a: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lines 9, 12, and 15.</a:t>
          </a:r>
        </a:p>
        <a:p>
          <a:pPr rtl="0"/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"All"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b. </a:t>
          </a: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Copy the results (line 4)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and </a:t>
          </a: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past </a:t>
          </a:r>
          <a:r>
            <a:rPr lang="en-US" sz="11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values</a:t>
          </a: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line 10.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c. </a:t>
          </a: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 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cells B9-R10 (labels and results) and go to "Data" and 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"Sort". Then sort by results (line 10) from smallest to largest.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Please see the picture below.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 the same for "AE" and "EMDE".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1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Reference:</a:t>
          </a:r>
          <a:endParaRPr lang="en-US">
            <a:effectLst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Alam, Zohair, Adrian Alter, Jesse Eiseman, Gaston Gelos, Heedon Kang, </a:t>
          </a:r>
          <a:endParaRPr lang="en-US">
            <a:effectLst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Machiko Narita, Erlend Nier, and Naixi Wang, 2019, "Digging Deeper </a:t>
          </a:r>
          <a:endParaRPr lang="en-US">
            <a:effectLst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– Evidence on the Effects of Macroprudential Policies from a New Database" IMF Working Paper WP/19/66. (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www.imf.org/iMaPP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endParaRPr lang="en-US">
            <a:effectLst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b="1">
            <a:effectLst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>
            <a:effectLst/>
          </a:endParaRPr>
        </a:p>
        <a:p>
          <a:pPr rtl="0"/>
          <a:endParaRPr lang="en-US" sz="1100" b="1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354043</xdr:colOff>
      <xdr:row>39</xdr:row>
      <xdr:rowOff>156623</xdr:rowOff>
    </xdr:from>
    <xdr:to>
      <xdr:col>5</xdr:col>
      <xdr:colOff>546987</xdr:colOff>
      <xdr:row>49</xdr:row>
      <xdr:rowOff>157707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47E85699-2141-4EF1-8749-05B3E61461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4043" y="7967123"/>
          <a:ext cx="3325611" cy="1906084"/>
        </a:xfrm>
        <a:prstGeom prst="rect">
          <a:avLst/>
        </a:prstGeom>
        <a:solidFill>
          <a:schemeClr val="accent1"/>
        </a:solidFill>
        <a:ln>
          <a:solidFill>
            <a:srgbClr val="0070C0"/>
          </a:solidFill>
        </a:ln>
      </xdr:spPr>
    </xdr:pic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0.76859</cdr:x>
      <cdr:y>0.74372</cdr:y>
    </cdr:from>
    <cdr:to>
      <cdr:x>0.94543</cdr:x>
      <cdr:y>0.82164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6EFFFE2A-9A35-46B6-932A-BA65277305A4}"/>
            </a:ext>
          </a:extLst>
        </cdr:cNvPr>
        <cdr:cNvSpPr txBox="1"/>
      </cdr:nvSpPr>
      <cdr:spPr>
        <a:xfrm xmlns:a="http://schemas.openxmlformats.org/drawingml/2006/main">
          <a:off x="2847799" y="2429790"/>
          <a:ext cx="655244" cy="25455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b="1" baseline="0">
              <a:solidFill>
                <a:schemeClr val="tx2"/>
              </a:solidFill>
              <a:latin typeface="Arial" panose="020B0604020202020204" pitchFamily="34" charset="0"/>
              <a:cs typeface="Arial" panose="020B0604020202020204" pitchFamily="34" charset="0"/>
            </a:rPr>
            <a:t>36 AEs</a:t>
          </a:r>
          <a:endParaRPr lang="en-US" sz="1100" b="1">
            <a:solidFill>
              <a:schemeClr val="tx2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0.69409</cdr:x>
      <cdr:y>0.73917</cdr:y>
    </cdr:from>
    <cdr:to>
      <cdr:x>0.92804</cdr:x>
      <cdr:y>0.81724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0A197C25-83B9-40E8-800A-6F71DC829522}"/>
            </a:ext>
          </a:extLst>
        </cdr:cNvPr>
        <cdr:cNvSpPr txBox="1"/>
      </cdr:nvSpPr>
      <cdr:spPr>
        <a:xfrm xmlns:a="http://schemas.openxmlformats.org/drawingml/2006/main">
          <a:off x="2571760" y="2410231"/>
          <a:ext cx="866840" cy="25455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b="1" baseline="0">
              <a:solidFill>
                <a:schemeClr val="tx2"/>
              </a:solidFill>
              <a:latin typeface="Arial" panose="020B0604020202020204" pitchFamily="34" charset="0"/>
              <a:cs typeface="Arial" panose="020B0604020202020204" pitchFamily="34" charset="0"/>
            </a:rPr>
            <a:t>98 EMDEs</a:t>
          </a:r>
          <a:endParaRPr lang="en-US" sz="1100" b="1">
            <a:solidFill>
              <a:schemeClr val="tx2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4481</xdr:colOff>
      <xdr:row>63</xdr:row>
      <xdr:rowOff>0</xdr:rowOff>
    </xdr:from>
    <xdr:to>
      <xdr:col>19</xdr:col>
      <xdr:colOff>66674</xdr:colOff>
      <xdr:row>75</xdr:row>
      <xdr:rowOff>123264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EEF9D0F-BF45-4DAE-BE82-65969C8CBFE5}"/>
            </a:ext>
          </a:extLst>
        </xdr:cNvPr>
        <xdr:cNvSpPr txBox="1"/>
      </xdr:nvSpPr>
      <xdr:spPr>
        <a:xfrm>
          <a:off x="2709581" y="4371975"/>
          <a:ext cx="9206193" cy="2066364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Figure 4:  Usage of macroprudential</a:t>
          </a:r>
          <a:r>
            <a:rPr lang="en-US" sz="1100" b="1" baseline="0"/>
            <a:t> policies over time</a:t>
          </a:r>
        </a:p>
        <a:p>
          <a:r>
            <a:rPr lang="en-US" sz="1100" baseline="0"/>
            <a:t>The bars indicate the cumulative sum of the net number of tightening actions of any macroprudential policy instruments over the current and past three quarters. </a:t>
          </a:r>
        </a:p>
        <a:p>
          <a:endParaRPr lang="en-US" sz="1100" baseline="0"/>
        </a:p>
        <a:p>
          <a:r>
            <a:rPr lang="en-US" sz="1100" baseline="0"/>
            <a:t>Please note that the chart created by </a:t>
          </a:r>
          <a:r>
            <a:rPr lang="en-US" sz="1100" b="1" baseline="0"/>
            <a:t>iMaPP_Fig4.do</a:t>
          </a:r>
          <a:r>
            <a:rPr lang="en-US" sz="1100" baseline="0"/>
            <a:t> looks slightly different from Figure 4 of Alam et al. (2019), because this code uses the full sample while Figure 4 uses the restricted sample whose quarterly data on household debt is available. Since household debt data is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proprietary</a:t>
          </a:r>
          <a:r>
            <a:rPr lang="en-US" sz="1100" baseline="0"/>
            <a:t>, we do not share them and thus we do not use them in this sample code.</a:t>
          </a:r>
        </a:p>
        <a:p>
          <a:endParaRPr lang="en-US" sz="1100" baseline="0"/>
        </a:p>
        <a:p>
          <a:r>
            <a:rPr lang="en-US" sz="1100" b="1" baseline="0"/>
            <a:t>Reference:</a:t>
          </a:r>
        </a:p>
        <a:p>
          <a:r>
            <a:rPr lang="en-US" sz="1100" baseline="0"/>
            <a:t>Alam, Zohair, Adrian Alter, Jesse Eiseman, Gaston Gelos, Heedon Kang, Machiko Narita, Erlend Nier, and Naixi Wang, 2019, "Digging Deeper – Evidence on the Effects of Macroprudential Policies from a New Database" IMF Working Paper WP/19/66. (</a:t>
          </a:r>
          <a:r>
            <a:rPr lang="en-US" sz="1100" b="1" baseline="0"/>
            <a:t>www.imf.org/iMaPP</a:t>
          </a:r>
          <a:r>
            <a:rPr lang="en-US" sz="1100" baseline="0"/>
            <a:t>)</a:t>
          </a:r>
        </a:p>
        <a:p>
          <a:endParaRPr lang="en-US" sz="1100"/>
        </a:p>
      </xdr:txBody>
    </xdr:sp>
    <xdr:clientData/>
  </xdr:twoCellAnchor>
  <xdr:twoCellAnchor>
    <xdr:from>
      <xdr:col>4</xdr:col>
      <xdr:colOff>0</xdr:colOff>
      <xdr:row>0</xdr:row>
      <xdr:rowOff>0</xdr:rowOff>
    </xdr:from>
    <xdr:to>
      <xdr:col>19</xdr:col>
      <xdr:colOff>9525</xdr:colOff>
      <xdr:row>60</xdr:row>
      <xdr:rowOff>143330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0E3120A-A15B-4970-A094-FA4CBB9541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elibrary-areaer.imf.org/Macroprudential/Pages/iMaPPDatabase.aspx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8548A-2635-48BF-AFE2-04194A71FDA2}">
  <sheetPr codeName="Sheet2">
    <tabColor theme="5" tint="0.79995117038483843"/>
  </sheetPr>
  <dimension ref="A1:D19"/>
  <sheetViews>
    <sheetView showGridLines="0" tabSelected="1" zoomScale="80" zoomScaleNormal="80" zoomScaleSheetLayoutView="100" workbookViewId="0">
      <selection activeCell="G10" sqref="G10"/>
    </sheetView>
  </sheetViews>
  <sheetFormatPr defaultRowHeight="15" x14ac:dyDescent="0.25"/>
  <cols>
    <col min="1" max="1" width="5.5703125" customWidth="1"/>
    <col min="2" max="2" width="14.28515625" customWidth="1"/>
    <col min="3" max="3" width="51.85546875" customWidth="1"/>
    <col min="4" max="4" width="5.5703125" customWidth="1"/>
  </cols>
  <sheetData>
    <row r="1" spans="1:4" x14ac:dyDescent="0.25">
      <c r="A1" s="26" t="s">
        <v>49</v>
      </c>
      <c r="B1" s="26"/>
      <c r="C1" s="26"/>
      <c r="D1" s="26"/>
    </row>
    <row r="2" spans="1:4" x14ac:dyDescent="0.25">
      <c r="A2" s="26"/>
      <c r="B2" s="26"/>
      <c r="C2" s="26"/>
      <c r="D2" s="26"/>
    </row>
    <row r="3" spans="1:4" x14ac:dyDescent="0.25">
      <c r="A3" s="29" t="s">
        <v>163</v>
      </c>
      <c r="B3" s="29"/>
      <c r="C3" s="29"/>
      <c r="D3" s="29"/>
    </row>
    <row r="4" spans="1:4" x14ac:dyDescent="0.25">
      <c r="B4" s="11" t="s">
        <v>32</v>
      </c>
      <c r="C4" s="11" t="s">
        <v>33</v>
      </c>
    </row>
    <row r="5" spans="1:4" ht="30" x14ac:dyDescent="0.25">
      <c r="B5" s="12" t="s">
        <v>25</v>
      </c>
      <c r="C5" s="10" t="s">
        <v>37</v>
      </c>
    </row>
    <row r="6" spans="1:4" ht="30" x14ac:dyDescent="0.25">
      <c r="B6" s="12" t="s">
        <v>27</v>
      </c>
      <c r="C6" s="10" t="s">
        <v>53</v>
      </c>
    </row>
    <row r="7" spans="1:4" ht="30" x14ac:dyDescent="0.25">
      <c r="B7" s="12" t="s">
        <v>30</v>
      </c>
      <c r="C7" s="10" t="s">
        <v>38</v>
      </c>
    </row>
    <row r="8" spans="1:4" s="14" customFormat="1" ht="30" x14ac:dyDescent="0.25">
      <c r="B8" s="15" t="s">
        <v>39</v>
      </c>
      <c r="C8" s="16" t="s">
        <v>45</v>
      </c>
    </row>
    <row r="9" spans="1:4" ht="30" x14ac:dyDescent="0.25">
      <c r="B9" s="13" t="s">
        <v>24</v>
      </c>
      <c r="C9" s="10" t="s">
        <v>34</v>
      </c>
    </row>
    <row r="10" spans="1:4" ht="30" x14ac:dyDescent="0.25">
      <c r="B10" s="13" t="s">
        <v>26</v>
      </c>
      <c r="C10" s="10" t="s">
        <v>34</v>
      </c>
    </row>
    <row r="11" spans="1:4" x14ac:dyDescent="0.25">
      <c r="B11" s="13" t="s">
        <v>28</v>
      </c>
      <c r="C11" s="10" t="s">
        <v>35</v>
      </c>
    </row>
    <row r="12" spans="1:4" x14ac:dyDescent="0.25">
      <c r="B12" s="13" t="s">
        <v>29</v>
      </c>
      <c r="C12" s="10" t="s">
        <v>36</v>
      </c>
    </row>
    <row r="13" spans="1:4" x14ac:dyDescent="0.25">
      <c r="B13" s="13" t="s">
        <v>31</v>
      </c>
      <c r="C13" s="10" t="s">
        <v>36</v>
      </c>
    </row>
    <row r="14" spans="1:4" s="14" customFormat="1" x14ac:dyDescent="0.25">
      <c r="B14" s="17" t="s">
        <v>40</v>
      </c>
      <c r="C14" s="16" t="s">
        <v>46</v>
      </c>
    </row>
    <row r="16" spans="1:4" ht="60.6" customHeight="1" x14ac:dyDescent="0.25">
      <c r="A16" s="27" t="s">
        <v>52</v>
      </c>
      <c r="B16" s="27"/>
      <c r="C16" s="27"/>
      <c r="D16" s="27"/>
    </row>
    <row r="17" spans="1:4" ht="45.75" customHeight="1" x14ac:dyDescent="0.25">
      <c r="A17" s="27" t="s">
        <v>47</v>
      </c>
      <c r="B17" s="27"/>
      <c r="C17" s="27"/>
      <c r="D17" s="27"/>
    </row>
    <row r="18" spans="1:4" x14ac:dyDescent="0.25">
      <c r="A18" s="2" t="s">
        <v>48</v>
      </c>
      <c r="B18" s="28" t="s">
        <v>51</v>
      </c>
      <c r="C18" s="28"/>
    </row>
    <row r="19" spans="1:4" x14ac:dyDescent="0.25">
      <c r="A19" s="23"/>
      <c r="B19" s="9"/>
    </row>
  </sheetData>
  <mergeCells count="5">
    <mergeCell ref="A1:D2"/>
    <mergeCell ref="A16:D16"/>
    <mergeCell ref="A17:D17"/>
    <mergeCell ref="B18:C18"/>
    <mergeCell ref="A3:D3"/>
  </mergeCells>
  <hyperlinks>
    <hyperlink ref="B5" location="'Fig1'!A1" display="Fig1" xr:uid="{00000000-0004-0000-0000-000000000000}"/>
    <hyperlink ref="B6" location="'Fig2'!A1" display="Fig2" xr:uid="{00000000-0004-0000-0000-000001000000}"/>
    <hyperlink ref="B7" location="'Fig3'!A1" display="Fig3" xr:uid="{00000000-0004-0000-0000-000002000000}"/>
    <hyperlink ref="B9" location="'AE_A'!A1" display="AE_A" xr:uid="{00000000-0004-0000-0000-000003000000}"/>
    <hyperlink ref="B10" location="'EMDE_A'!A1" display="EMDE_A" xr:uid="{00000000-0004-0000-0000-000004000000}"/>
    <hyperlink ref="B11" location="'ALL_A'!A1" display="ALL_A" xr:uid="{00000000-0004-0000-0000-000005000000}"/>
    <hyperlink ref="B12" location="'Act_AEEM'!A1" display="Act_AEEM" xr:uid="{00000000-0004-0000-0000-000006000000}"/>
    <hyperlink ref="B13" location="'Act_ALL'!A1" display="Act_ALL" xr:uid="{00000000-0004-0000-0000-000007000000}"/>
    <hyperlink ref="B8" location="'Fig4'!A1" display="Fig4" xr:uid="{00000000-0004-0000-0000-000008000000}"/>
    <hyperlink ref="B14" location="'Fig4_data'!A1" display="Fig4_data" xr:uid="{00000000-0004-0000-0000-000009000000}"/>
    <hyperlink ref="B18:C18" r:id="rId1" display="www.elibrary-areaer.imf.org/Macroprudential/Pages/iMaPPDatabase.aspx" xr:uid="{00000000-0004-0000-0000-00000A000000}"/>
  </hyperlinks>
  <pageMargins left="0.7" right="0.7" top="0.75" bottom="0.75" header="0.3" footer="0.3"/>
  <pageSetup scale="9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tabColor rgb="FFC00000"/>
  </sheetPr>
  <dimension ref="A1:I34"/>
  <sheetViews>
    <sheetView zoomScale="80" zoomScaleNormal="80" workbookViewId="0">
      <pane xSplit="3" ySplit="2" topLeftCell="D6" activePane="bottomRight" state="frozen"/>
      <selection pane="topRight" activeCell="D1" sqref="D1"/>
      <selection pane="bottomLeft" activeCell="A3" sqref="A3"/>
      <selection pane="bottomRight" activeCell="K35" sqref="K35"/>
    </sheetView>
  </sheetViews>
  <sheetFormatPr defaultRowHeight="15" x14ac:dyDescent="0.25"/>
  <sheetData>
    <row r="1" spans="1:9" ht="15" customHeight="1" x14ac:dyDescent="0.25">
      <c r="A1" s="31" t="s">
        <v>50</v>
      </c>
      <c r="D1" s="30" t="s">
        <v>2</v>
      </c>
      <c r="E1" s="30"/>
    </row>
    <row r="2" spans="1:9" x14ac:dyDescent="0.25">
      <c r="A2" s="31"/>
      <c r="D2" t="s">
        <v>0</v>
      </c>
      <c r="E2" t="s">
        <v>1</v>
      </c>
      <c r="F2" t="s">
        <v>4</v>
      </c>
      <c r="G2" t="s">
        <v>5</v>
      </c>
      <c r="H2" t="s">
        <v>0</v>
      </c>
      <c r="I2" t="s">
        <v>1</v>
      </c>
    </row>
    <row r="3" spans="1:9" x14ac:dyDescent="0.25">
      <c r="A3" s="1">
        <f>AE_A!A2</f>
        <v>1990</v>
      </c>
      <c r="B3" t="s">
        <v>3</v>
      </c>
      <c r="C3" t="str">
        <f>A3&amp;B3</f>
        <v>1990M12</v>
      </c>
      <c r="D3">
        <f>AE_A!C2</f>
        <v>1</v>
      </c>
      <c r="E3">
        <f>EMDE_A!C2</f>
        <v>2</v>
      </c>
      <c r="F3" s="1">
        <f>AE_A!B2</f>
        <v>36</v>
      </c>
      <c r="G3" s="1">
        <f>EMDE_A!B2</f>
        <v>98</v>
      </c>
    </row>
    <row r="4" spans="1:9" x14ac:dyDescent="0.25">
      <c r="A4" s="1">
        <f>AE_A!A3</f>
        <v>1991</v>
      </c>
      <c r="B4" t="s">
        <v>3</v>
      </c>
      <c r="C4" t="str">
        <f t="shared" ref="C4:C31" si="0">A4&amp;B4</f>
        <v>1991M12</v>
      </c>
      <c r="D4">
        <f>AE_A!C3</f>
        <v>7</v>
      </c>
      <c r="E4">
        <f>EMDE_A!C3</f>
        <v>3</v>
      </c>
      <c r="F4" s="1">
        <f>AE_A!B3</f>
        <v>36</v>
      </c>
      <c r="G4" s="1">
        <f>EMDE_A!B3</f>
        <v>98</v>
      </c>
      <c r="H4">
        <f>D4-D3</f>
        <v>6</v>
      </c>
      <c r="I4">
        <f>E4-E3</f>
        <v>1</v>
      </c>
    </row>
    <row r="5" spans="1:9" x14ac:dyDescent="0.25">
      <c r="A5" s="1">
        <f>AE_A!A4</f>
        <v>1992</v>
      </c>
      <c r="B5" t="s">
        <v>3</v>
      </c>
      <c r="C5" t="str">
        <f t="shared" si="0"/>
        <v>1992M12</v>
      </c>
      <c r="D5">
        <f>AE_A!C4</f>
        <v>7</v>
      </c>
      <c r="E5">
        <f>EMDE_A!C4</f>
        <v>5</v>
      </c>
      <c r="F5" s="1">
        <f>AE_A!B4</f>
        <v>36</v>
      </c>
      <c r="G5" s="1">
        <f>EMDE_A!B4</f>
        <v>98</v>
      </c>
      <c r="H5">
        <f t="shared" ref="H5:H29" si="1">D5-D4</f>
        <v>0</v>
      </c>
      <c r="I5">
        <f t="shared" ref="I5:I29" si="2">E5-E4</f>
        <v>2</v>
      </c>
    </row>
    <row r="6" spans="1:9" x14ac:dyDescent="0.25">
      <c r="A6" s="1">
        <f>AE_A!A5</f>
        <v>1993</v>
      </c>
      <c r="B6" t="s">
        <v>3</v>
      </c>
      <c r="C6" t="str">
        <f t="shared" si="0"/>
        <v>1993M12</v>
      </c>
      <c r="D6">
        <f>AE_A!C5</f>
        <v>7</v>
      </c>
      <c r="E6">
        <f>EMDE_A!C5</f>
        <v>9</v>
      </c>
      <c r="F6" s="1">
        <f>AE_A!B5</f>
        <v>36</v>
      </c>
      <c r="G6" s="1">
        <f>EMDE_A!B5</f>
        <v>98</v>
      </c>
      <c r="H6">
        <f t="shared" si="1"/>
        <v>0</v>
      </c>
      <c r="I6">
        <f t="shared" si="2"/>
        <v>4</v>
      </c>
    </row>
    <row r="7" spans="1:9" x14ac:dyDescent="0.25">
      <c r="A7" s="1">
        <f>AE_A!A6</f>
        <v>1994</v>
      </c>
      <c r="B7" t="s">
        <v>3</v>
      </c>
      <c r="C7" t="str">
        <f t="shared" si="0"/>
        <v>1994M12</v>
      </c>
      <c r="D7">
        <f>AE_A!C6</f>
        <v>7</v>
      </c>
      <c r="E7">
        <f>EMDE_A!C6</f>
        <v>14</v>
      </c>
      <c r="F7" s="1">
        <f>AE_A!B6</f>
        <v>36</v>
      </c>
      <c r="G7" s="1">
        <f>EMDE_A!B6</f>
        <v>98</v>
      </c>
      <c r="H7">
        <f t="shared" si="1"/>
        <v>0</v>
      </c>
      <c r="I7">
        <f t="shared" si="2"/>
        <v>5</v>
      </c>
    </row>
    <row r="8" spans="1:9" x14ac:dyDescent="0.25">
      <c r="A8" s="1">
        <f>AE_A!A7</f>
        <v>1995</v>
      </c>
      <c r="B8" t="s">
        <v>3</v>
      </c>
      <c r="C8" t="str">
        <f t="shared" si="0"/>
        <v>1995M12</v>
      </c>
      <c r="D8">
        <f>AE_A!C7</f>
        <v>9</v>
      </c>
      <c r="E8">
        <f>EMDE_A!C7</f>
        <v>20</v>
      </c>
      <c r="F8" s="1">
        <f>AE_A!B7</f>
        <v>36</v>
      </c>
      <c r="G8" s="1">
        <f>EMDE_A!B7</f>
        <v>98</v>
      </c>
      <c r="H8">
        <f t="shared" si="1"/>
        <v>2</v>
      </c>
      <c r="I8">
        <f t="shared" si="2"/>
        <v>6</v>
      </c>
    </row>
    <row r="9" spans="1:9" x14ac:dyDescent="0.25">
      <c r="A9" s="1">
        <f>AE_A!A8</f>
        <v>1996</v>
      </c>
      <c r="B9" t="s">
        <v>3</v>
      </c>
      <c r="C9" t="str">
        <f t="shared" si="0"/>
        <v>1996M12</v>
      </c>
      <c r="D9">
        <f>AE_A!C8</f>
        <v>10</v>
      </c>
      <c r="E9">
        <f>EMDE_A!C8</f>
        <v>28</v>
      </c>
      <c r="F9" s="1">
        <f>AE_A!B8</f>
        <v>36</v>
      </c>
      <c r="G9" s="1">
        <f>EMDE_A!B8</f>
        <v>98</v>
      </c>
      <c r="H9">
        <f t="shared" si="1"/>
        <v>1</v>
      </c>
      <c r="I9">
        <f t="shared" si="2"/>
        <v>8</v>
      </c>
    </row>
    <row r="10" spans="1:9" x14ac:dyDescent="0.25">
      <c r="A10" s="1">
        <f>AE_A!A9</f>
        <v>1997</v>
      </c>
      <c r="B10" t="s">
        <v>3</v>
      </c>
      <c r="C10" t="str">
        <f t="shared" si="0"/>
        <v>1997M12</v>
      </c>
      <c r="D10">
        <f>AE_A!C9</f>
        <v>13</v>
      </c>
      <c r="E10">
        <f>EMDE_A!C9</f>
        <v>35</v>
      </c>
      <c r="F10" s="1">
        <f>AE_A!B9</f>
        <v>36</v>
      </c>
      <c r="G10" s="1">
        <f>EMDE_A!B9</f>
        <v>98</v>
      </c>
      <c r="H10">
        <f t="shared" si="1"/>
        <v>3</v>
      </c>
      <c r="I10">
        <f t="shared" si="2"/>
        <v>7</v>
      </c>
    </row>
    <row r="11" spans="1:9" x14ac:dyDescent="0.25">
      <c r="A11" s="1">
        <f>AE_A!A10</f>
        <v>1998</v>
      </c>
      <c r="B11" t="s">
        <v>3</v>
      </c>
      <c r="C11" t="str">
        <f t="shared" si="0"/>
        <v>1998M12</v>
      </c>
      <c r="D11">
        <f>AE_A!C10</f>
        <v>15</v>
      </c>
      <c r="E11">
        <f>EMDE_A!C10</f>
        <v>37</v>
      </c>
      <c r="F11" s="1">
        <f>AE_A!B10</f>
        <v>36</v>
      </c>
      <c r="G11" s="1">
        <f>EMDE_A!B10</f>
        <v>98</v>
      </c>
      <c r="H11">
        <f t="shared" si="1"/>
        <v>2</v>
      </c>
      <c r="I11">
        <f t="shared" si="2"/>
        <v>2</v>
      </c>
    </row>
    <row r="12" spans="1:9" x14ac:dyDescent="0.25">
      <c r="A12" s="1">
        <f>AE_A!A11</f>
        <v>1999</v>
      </c>
      <c r="B12" t="s">
        <v>3</v>
      </c>
      <c r="C12" t="str">
        <f t="shared" si="0"/>
        <v>1999M12</v>
      </c>
      <c r="D12">
        <f>AE_A!C11</f>
        <v>17</v>
      </c>
      <c r="E12">
        <f>EMDE_A!C11</f>
        <v>39</v>
      </c>
      <c r="F12" s="1">
        <f>AE_A!B11</f>
        <v>36</v>
      </c>
      <c r="G12" s="1">
        <f>EMDE_A!B11</f>
        <v>98</v>
      </c>
      <c r="H12">
        <f t="shared" si="1"/>
        <v>2</v>
      </c>
      <c r="I12">
        <f t="shared" si="2"/>
        <v>2</v>
      </c>
    </row>
    <row r="13" spans="1:9" x14ac:dyDescent="0.25">
      <c r="A13" s="1">
        <f>AE_A!A12</f>
        <v>2000</v>
      </c>
      <c r="B13" t="s">
        <v>3</v>
      </c>
      <c r="C13" t="str">
        <f t="shared" si="0"/>
        <v>2000M12</v>
      </c>
      <c r="D13">
        <f>AE_A!C12</f>
        <v>18</v>
      </c>
      <c r="E13">
        <f>EMDE_A!C12</f>
        <v>44</v>
      </c>
      <c r="F13" s="1">
        <f>AE_A!B12</f>
        <v>36</v>
      </c>
      <c r="G13" s="1">
        <f>EMDE_A!B12</f>
        <v>98</v>
      </c>
      <c r="H13">
        <f t="shared" si="1"/>
        <v>1</v>
      </c>
      <c r="I13">
        <f t="shared" si="2"/>
        <v>5</v>
      </c>
    </row>
    <row r="14" spans="1:9" x14ac:dyDescent="0.25">
      <c r="A14" s="1">
        <f>AE_A!A13</f>
        <v>2001</v>
      </c>
      <c r="B14" t="s">
        <v>3</v>
      </c>
      <c r="C14" t="str">
        <f t="shared" si="0"/>
        <v>2001M12</v>
      </c>
      <c r="D14">
        <f>AE_A!C13</f>
        <v>18</v>
      </c>
      <c r="E14">
        <f>EMDE_A!C13</f>
        <v>50</v>
      </c>
      <c r="F14" s="1">
        <f>AE_A!B13</f>
        <v>36</v>
      </c>
      <c r="G14" s="1">
        <f>EMDE_A!B13</f>
        <v>98</v>
      </c>
      <c r="H14">
        <f t="shared" si="1"/>
        <v>0</v>
      </c>
      <c r="I14">
        <f t="shared" si="2"/>
        <v>6</v>
      </c>
    </row>
    <row r="15" spans="1:9" x14ac:dyDescent="0.25">
      <c r="A15" s="1">
        <f>AE_A!A14</f>
        <v>2002</v>
      </c>
      <c r="B15" t="s">
        <v>3</v>
      </c>
      <c r="C15" t="str">
        <f t="shared" si="0"/>
        <v>2002M12</v>
      </c>
      <c r="D15">
        <f>AE_A!C14</f>
        <v>18</v>
      </c>
      <c r="E15">
        <f>EMDE_A!C14</f>
        <v>55</v>
      </c>
      <c r="F15" s="1">
        <f>AE_A!B14</f>
        <v>36</v>
      </c>
      <c r="G15" s="1">
        <f>EMDE_A!B14</f>
        <v>98</v>
      </c>
      <c r="H15">
        <f t="shared" si="1"/>
        <v>0</v>
      </c>
      <c r="I15">
        <f t="shared" si="2"/>
        <v>5</v>
      </c>
    </row>
    <row r="16" spans="1:9" x14ac:dyDescent="0.25">
      <c r="A16" s="1">
        <f>AE_A!A15</f>
        <v>2003</v>
      </c>
      <c r="B16" t="s">
        <v>3</v>
      </c>
      <c r="C16" t="str">
        <f t="shared" si="0"/>
        <v>2003M12</v>
      </c>
      <c r="D16">
        <f>AE_A!C15</f>
        <v>20</v>
      </c>
      <c r="E16">
        <f>EMDE_A!C15</f>
        <v>59</v>
      </c>
      <c r="F16" s="1">
        <f>AE_A!B15</f>
        <v>36</v>
      </c>
      <c r="G16" s="1">
        <f>EMDE_A!B15</f>
        <v>98</v>
      </c>
      <c r="H16">
        <f t="shared" si="1"/>
        <v>2</v>
      </c>
      <c r="I16">
        <f t="shared" si="2"/>
        <v>4</v>
      </c>
    </row>
    <row r="17" spans="1:9" x14ac:dyDescent="0.25">
      <c r="A17" s="1">
        <f>AE_A!A16</f>
        <v>2004</v>
      </c>
      <c r="B17" t="s">
        <v>3</v>
      </c>
      <c r="C17" t="str">
        <f t="shared" si="0"/>
        <v>2004M12</v>
      </c>
      <c r="D17">
        <f>AE_A!C16</f>
        <v>24</v>
      </c>
      <c r="E17">
        <f>EMDE_A!C16</f>
        <v>65</v>
      </c>
      <c r="F17" s="1">
        <f>AE_A!B16</f>
        <v>36</v>
      </c>
      <c r="G17" s="1">
        <f>EMDE_A!B16</f>
        <v>98</v>
      </c>
      <c r="H17">
        <f t="shared" si="1"/>
        <v>4</v>
      </c>
      <c r="I17">
        <f t="shared" si="2"/>
        <v>6</v>
      </c>
    </row>
    <row r="18" spans="1:9" x14ac:dyDescent="0.25">
      <c r="A18" s="1">
        <f>AE_A!A17</f>
        <v>2005</v>
      </c>
      <c r="B18" s="24" t="s">
        <v>3</v>
      </c>
      <c r="C18" s="24" t="str">
        <f t="shared" si="0"/>
        <v>2005M12</v>
      </c>
      <c r="D18" s="24">
        <f>AE_A!C17</f>
        <v>24</v>
      </c>
      <c r="E18" s="24">
        <f>EMDE_A!C17</f>
        <v>67</v>
      </c>
      <c r="F18" s="25">
        <f>AE_A!B17</f>
        <v>36</v>
      </c>
      <c r="G18" s="25">
        <f>EMDE_A!B17</f>
        <v>98</v>
      </c>
      <c r="H18" s="24">
        <f t="shared" si="1"/>
        <v>0</v>
      </c>
      <c r="I18" s="24">
        <f t="shared" si="2"/>
        <v>2</v>
      </c>
    </row>
    <row r="19" spans="1:9" x14ac:dyDescent="0.25">
      <c r="A19" s="1">
        <f>AE_A!A18</f>
        <v>2006</v>
      </c>
      <c r="B19" s="24" t="s">
        <v>3</v>
      </c>
      <c r="C19" s="24" t="str">
        <f t="shared" si="0"/>
        <v>2006M12</v>
      </c>
      <c r="D19" s="24">
        <f>AE_A!C18</f>
        <v>24</v>
      </c>
      <c r="E19" s="24">
        <f>EMDE_A!C18</f>
        <v>70</v>
      </c>
      <c r="F19" s="25">
        <f>AE_A!B18</f>
        <v>36</v>
      </c>
      <c r="G19" s="25">
        <f>EMDE_A!B18</f>
        <v>98</v>
      </c>
      <c r="H19" s="24">
        <f t="shared" si="1"/>
        <v>0</v>
      </c>
      <c r="I19" s="24">
        <f t="shared" si="2"/>
        <v>3</v>
      </c>
    </row>
    <row r="20" spans="1:9" x14ac:dyDescent="0.25">
      <c r="A20" s="1">
        <f>AE_A!A19</f>
        <v>2007</v>
      </c>
      <c r="B20" s="24" t="s">
        <v>3</v>
      </c>
      <c r="C20" s="24" t="str">
        <f t="shared" si="0"/>
        <v>2007M12</v>
      </c>
      <c r="D20" s="24">
        <f>AE_A!C19</f>
        <v>28</v>
      </c>
      <c r="E20" s="24">
        <f>EMDE_A!C19</f>
        <v>75</v>
      </c>
      <c r="F20" s="25">
        <f>AE_A!B19</f>
        <v>36</v>
      </c>
      <c r="G20" s="25">
        <f>EMDE_A!B19</f>
        <v>98</v>
      </c>
      <c r="H20" s="24">
        <f t="shared" si="1"/>
        <v>4</v>
      </c>
      <c r="I20" s="24">
        <f t="shared" si="2"/>
        <v>5</v>
      </c>
    </row>
    <row r="21" spans="1:9" x14ac:dyDescent="0.25">
      <c r="A21" s="1">
        <f>AE_A!A20</f>
        <v>2008</v>
      </c>
      <c r="B21" t="s">
        <v>3</v>
      </c>
      <c r="C21" t="str">
        <f t="shared" si="0"/>
        <v>2008M12</v>
      </c>
      <c r="D21">
        <f>AE_A!C20</f>
        <v>29</v>
      </c>
      <c r="E21">
        <f>EMDE_A!C20</f>
        <v>77</v>
      </c>
      <c r="F21" s="1">
        <f>AE_A!B20</f>
        <v>36</v>
      </c>
      <c r="G21" s="1">
        <f>EMDE_A!B20</f>
        <v>98</v>
      </c>
      <c r="H21">
        <f t="shared" si="1"/>
        <v>1</v>
      </c>
      <c r="I21">
        <f t="shared" si="2"/>
        <v>2</v>
      </c>
    </row>
    <row r="22" spans="1:9" x14ac:dyDescent="0.25">
      <c r="A22" s="1">
        <f>AE_A!A21</f>
        <v>2009</v>
      </c>
      <c r="B22" t="s">
        <v>3</v>
      </c>
      <c r="C22" t="str">
        <f t="shared" si="0"/>
        <v>2009M12</v>
      </c>
      <c r="D22">
        <f>AE_A!C21</f>
        <v>29</v>
      </c>
      <c r="E22">
        <f>EMDE_A!C21</f>
        <v>82</v>
      </c>
      <c r="F22" s="1">
        <f>AE_A!B21</f>
        <v>36</v>
      </c>
      <c r="G22" s="1">
        <f>EMDE_A!B21</f>
        <v>98</v>
      </c>
      <c r="H22">
        <f t="shared" si="1"/>
        <v>0</v>
      </c>
      <c r="I22">
        <f t="shared" si="2"/>
        <v>5</v>
      </c>
    </row>
    <row r="23" spans="1:9" x14ac:dyDescent="0.25">
      <c r="A23" s="1">
        <f>AE_A!A22</f>
        <v>2010</v>
      </c>
      <c r="B23" t="s">
        <v>3</v>
      </c>
      <c r="C23" t="str">
        <f t="shared" si="0"/>
        <v>2010M12</v>
      </c>
      <c r="D23">
        <f>AE_A!C22</f>
        <v>32</v>
      </c>
      <c r="E23">
        <f>EMDE_A!C22</f>
        <v>83</v>
      </c>
      <c r="F23" s="1">
        <f>AE_A!B22</f>
        <v>36</v>
      </c>
      <c r="G23" s="1">
        <f>EMDE_A!B22</f>
        <v>98</v>
      </c>
      <c r="H23">
        <f t="shared" si="1"/>
        <v>3</v>
      </c>
      <c r="I23">
        <f t="shared" si="2"/>
        <v>1</v>
      </c>
    </row>
    <row r="24" spans="1:9" x14ac:dyDescent="0.25">
      <c r="A24" s="1">
        <f>AE_A!A23</f>
        <v>2011</v>
      </c>
      <c r="B24" t="s">
        <v>3</v>
      </c>
      <c r="C24" t="str">
        <f t="shared" si="0"/>
        <v>2011M12</v>
      </c>
      <c r="D24">
        <f>AE_A!C23</f>
        <v>33</v>
      </c>
      <c r="E24">
        <f>EMDE_A!C23</f>
        <v>92</v>
      </c>
      <c r="F24" s="1">
        <f>AE_A!B23</f>
        <v>36</v>
      </c>
      <c r="G24" s="1">
        <f>EMDE_A!B23</f>
        <v>98</v>
      </c>
      <c r="H24">
        <f t="shared" si="1"/>
        <v>1</v>
      </c>
      <c r="I24">
        <f t="shared" si="2"/>
        <v>9</v>
      </c>
    </row>
    <row r="25" spans="1:9" x14ac:dyDescent="0.25">
      <c r="A25" s="1">
        <f>AE_A!A24</f>
        <v>2012</v>
      </c>
      <c r="B25" t="s">
        <v>3</v>
      </c>
      <c r="C25" t="str">
        <f t="shared" si="0"/>
        <v>2012M12</v>
      </c>
      <c r="D25">
        <f>AE_A!C24</f>
        <v>33</v>
      </c>
      <c r="E25">
        <f>EMDE_A!C24</f>
        <v>94</v>
      </c>
      <c r="F25" s="1">
        <f>AE_A!B24</f>
        <v>36</v>
      </c>
      <c r="G25" s="1">
        <f>EMDE_A!B24</f>
        <v>98</v>
      </c>
      <c r="H25">
        <f t="shared" si="1"/>
        <v>0</v>
      </c>
      <c r="I25">
        <f t="shared" si="2"/>
        <v>2</v>
      </c>
    </row>
    <row r="26" spans="1:9" x14ac:dyDescent="0.25">
      <c r="A26" s="1">
        <f>AE_A!A25</f>
        <v>2013</v>
      </c>
      <c r="B26" t="s">
        <v>3</v>
      </c>
      <c r="C26" t="str">
        <f t="shared" si="0"/>
        <v>2013M12</v>
      </c>
      <c r="D26">
        <f>AE_A!C25</f>
        <v>35</v>
      </c>
      <c r="E26">
        <f>EMDE_A!C25</f>
        <v>94</v>
      </c>
      <c r="F26" s="1">
        <f>AE_A!B25</f>
        <v>36</v>
      </c>
      <c r="G26" s="1">
        <f>EMDE_A!B25</f>
        <v>98</v>
      </c>
      <c r="H26">
        <f t="shared" si="1"/>
        <v>2</v>
      </c>
      <c r="I26">
        <f t="shared" si="2"/>
        <v>0</v>
      </c>
    </row>
    <row r="27" spans="1:9" x14ac:dyDescent="0.25">
      <c r="A27" s="1">
        <f>AE_A!A26</f>
        <v>2014</v>
      </c>
      <c r="B27" t="s">
        <v>3</v>
      </c>
      <c r="C27" t="str">
        <f t="shared" si="0"/>
        <v>2014M12</v>
      </c>
      <c r="D27">
        <f>AE_A!C26</f>
        <v>36</v>
      </c>
      <c r="E27">
        <f>EMDE_A!C26</f>
        <v>96</v>
      </c>
      <c r="F27" s="1">
        <f>AE_A!B26</f>
        <v>36</v>
      </c>
      <c r="G27" s="1">
        <f>EMDE_A!B26</f>
        <v>98</v>
      </c>
      <c r="H27">
        <f t="shared" si="1"/>
        <v>1</v>
      </c>
      <c r="I27">
        <f t="shared" si="2"/>
        <v>2</v>
      </c>
    </row>
    <row r="28" spans="1:9" x14ac:dyDescent="0.25">
      <c r="A28" s="1">
        <f>AE_A!A27</f>
        <v>2015</v>
      </c>
      <c r="B28" t="s">
        <v>3</v>
      </c>
      <c r="C28" t="str">
        <f t="shared" si="0"/>
        <v>2015M12</v>
      </c>
      <c r="D28">
        <f>AE_A!C27</f>
        <v>36</v>
      </c>
      <c r="E28">
        <f>EMDE_A!C27</f>
        <v>96</v>
      </c>
      <c r="F28" s="1">
        <f>AE_A!B27</f>
        <v>36</v>
      </c>
      <c r="G28" s="1">
        <f>EMDE_A!B27</f>
        <v>98</v>
      </c>
      <c r="H28">
        <f t="shared" si="1"/>
        <v>0</v>
      </c>
      <c r="I28">
        <f t="shared" si="2"/>
        <v>0</v>
      </c>
    </row>
    <row r="29" spans="1:9" x14ac:dyDescent="0.25">
      <c r="A29" s="1">
        <f>AE_A!A28</f>
        <v>2016</v>
      </c>
      <c r="B29" t="s">
        <v>3</v>
      </c>
      <c r="C29" t="str">
        <f t="shared" si="0"/>
        <v>2016M12</v>
      </c>
      <c r="D29">
        <f>AE_A!C28</f>
        <v>36</v>
      </c>
      <c r="E29">
        <f>EMDE_A!C28</f>
        <v>97</v>
      </c>
      <c r="F29" s="1">
        <f>AE_A!B28</f>
        <v>36</v>
      </c>
      <c r="G29" s="1">
        <f>EMDE_A!B28</f>
        <v>98</v>
      </c>
      <c r="H29">
        <f t="shared" si="1"/>
        <v>0</v>
      </c>
      <c r="I29">
        <f t="shared" si="2"/>
        <v>1</v>
      </c>
    </row>
    <row r="30" spans="1:9" x14ac:dyDescent="0.25">
      <c r="A30" s="1">
        <f>AE_A!A29</f>
        <v>2017</v>
      </c>
      <c r="B30" t="s">
        <v>3</v>
      </c>
      <c r="C30" t="str">
        <f t="shared" si="0"/>
        <v>2017M12</v>
      </c>
      <c r="D30">
        <f>AE_A!C29</f>
        <v>36</v>
      </c>
      <c r="E30">
        <f>EMDE_A!C29</f>
        <v>97</v>
      </c>
      <c r="F30" s="1">
        <f>AE_A!B29</f>
        <v>36</v>
      </c>
      <c r="G30" s="1">
        <f>EMDE_A!B29</f>
        <v>98</v>
      </c>
      <c r="H30">
        <f t="shared" ref="H30" si="3">D30-D29</f>
        <v>0</v>
      </c>
      <c r="I30">
        <f t="shared" ref="I30:I31" si="4">E30-E29</f>
        <v>0</v>
      </c>
    </row>
    <row r="31" spans="1:9" x14ac:dyDescent="0.25">
      <c r="A31" s="1">
        <f>AE_A!A30</f>
        <v>2018</v>
      </c>
      <c r="B31" t="s">
        <v>3</v>
      </c>
      <c r="C31" t="str">
        <f t="shared" si="0"/>
        <v>2018M12</v>
      </c>
      <c r="D31">
        <f>AE_A!C30</f>
        <v>36</v>
      </c>
      <c r="E31">
        <f>EMDE_A!C30</f>
        <v>97</v>
      </c>
      <c r="F31" s="1">
        <f>AE_A!B30</f>
        <v>36</v>
      </c>
      <c r="G31" s="1">
        <f>EMDE_A!B30</f>
        <v>98</v>
      </c>
      <c r="H31">
        <f>D31-D30</f>
        <v>0</v>
      </c>
      <c r="I31">
        <f t="shared" si="4"/>
        <v>0</v>
      </c>
    </row>
    <row r="32" spans="1:9" x14ac:dyDescent="0.25">
      <c r="A32" s="1">
        <f>AE_A!A31</f>
        <v>2019</v>
      </c>
      <c r="B32" t="s">
        <v>3</v>
      </c>
      <c r="C32" t="str">
        <f t="shared" ref="C32" si="5">A32&amp;B32</f>
        <v>2019M12</v>
      </c>
      <c r="D32">
        <f>AE_A!C31</f>
        <v>36</v>
      </c>
      <c r="E32">
        <f>EMDE_A!C31</f>
        <v>97</v>
      </c>
      <c r="F32" s="1">
        <f>AE_A!B31</f>
        <v>36</v>
      </c>
      <c r="G32" s="1">
        <f>EMDE_A!B31</f>
        <v>98</v>
      </c>
      <c r="H32">
        <f>D32-D31</f>
        <v>0</v>
      </c>
      <c r="I32">
        <f t="shared" ref="I32" si="6">E32-E31</f>
        <v>0</v>
      </c>
    </row>
    <row r="33" spans="1:9" x14ac:dyDescent="0.25">
      <c r="A33" s="1">
        <f>AE_A!A32</f>
        <v>2020</v>
      </c>
      <c r="B33" t="s">
        <v>3</v>
      </c>
      <c r="C33" t="str">
        <f t="shared" ref="C33" si="7">A33&amp;B33</f>
        <v>2020M12</v>
      </c>
      <c r="D33">
        <f>AE_A!C32</f>
        <v>36</v>
      </c>
      <c r="E33">
        <f>EMDE_A!C32</f>
        <v>97</v>
      </c>
      <c r="F33" s="1">
        <f>AE_A!B32</f>
        <v>36</v>
      </c>
      <c r="G33" s="1">
        <f>EMDE_A!B32</f>
        <v>98</v>
      </c>
      <c r="H33">
        <f>D33-D32</f>
        <v>0</v>
      </c>
      <c r="I33">
        <f t="shared" ref="I33" si="8">E33-E32</f>
        <v>0</v>
      </c>
    </row>
    <row r="34" spans="1:9" x14ac:dyDescent="0.25">
      <c r="A34" s="1">
        <f>AE_A!A33</f>
        <v>2021</v>
      </c>
      <c r="B34" t="s">
        <v>3</v>
      </c>
      <c r="C34" t="str">
        <f t="shared" ref="C34" si="9">A34&amp;B34</f>
        <v>2021M12</v>
      </c>
      <c r="D34">
        <f>AE_A!C33</f>
        <v>36</v>
      </c>
      <c r="E34">
        <f>EMDE_A!C33</f>
        <v>97</v>
      </c>
      <c r="F34" s="1">
        <f>AE_A!B33</f>
        <v>36</v>
      </c>
      <c r="G34" s="1">
        <f>EMDE_A!B33</f>
        <v>98</v>
      </c>
      <c r="H34">
        <f>D34-D33</f>
        <v>0</v>
      </c>
      <c r="I34">
        <f t="shared" ref="I34" si="10">E34-E33</f>
        <v>0</v>
      </c>
    </row>
  </sheetData>
  <mergeCells count="2">
    <mergeCell ref="D1:E1"/>
    <mergeCell ref="A1:A2"/>
  </mergeCells>
  <phoneticPr fontId="10" type="noConversion"/>
  <hyperlinks>
    <hyperlink ref="A1" location="'Table of Contents'!A1" display="Back to TOC" xr:uid="{00000000-0004-0000-0100-000000000000}"/>
  </hyperlink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tabColor rgb="FFC00000"/>
  </sheetPr>
  <dimension ref="A1:R16"/>
  <sheetViews>
    <sheetView zoomScale="80" zoomScaleNormal="80" workbookViewId="0">
      <selection activeCell="X13" sqref="X13"/>
    </sheetView>
  </sheetViews>
  <sheetFormatPr defaultRowHeight="15" x14ac:dyDescent="0.25"/>
  <cols>
    <col min="2" max="2" width="9.140625" collapsed="1"/>
    <col min="3" max="3" width="10.140625" customWidth="1"/>
    <col min="10" max="10" width="9.140625" customWidth="1"/>
    <col min="11" max="12" width="9.140625" customWidth="1" collapsed="1"/>
  </cols>
  <sheetData>
    <row r="1" spans="1:18" x14ac:dyDescent="0.25">
      <c r="A1" s="31" t="s">
        <v>50</v>
      </c>
      <c r="B1" s="32" t="s">
        <v>161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</row>
    <row r="2" spans="1:18" s="3" customFormat="1" ht="30" x14ac:dyDescent="0.25">
      <c r="A2" s="31"/>
      <c r="B2" s="3" t="str">
        <f>AE_A!E1</f>
        <v>CCB_use1</v>
      </c>
      <c r="C2" s="3" t="str">
        <f>AE_A!F1</f>
        <v>Conservation_use1</v>
      </c>
      <c r="D2" s="3" t="str">
        <f>AE_A!G1</f>
        <v>LVR_use1</v>
      </c>
      <c r="E2" s="3" t="str">
        <f>AE_A!H1</f>
        <v>LLP_use1</v>
      </c>
      <c r="F2" s="3" t="str">
        <f>AE_A!I1</f>
        <v>Capital_use1</v>
      </c>
      <c r="G2" s="3" t="str">
        <f>AE_A!J1</f>
        <v>LTV_use1</v>
      </c>
      <c r="H2" s="3" t="str">
        <f>AE_A!K1</f>
        <v>DSTI_use1</v>
      </c>
      <c r="I2" s="3" t="str">
        <f>AE_A!L1</f>
        <v>LCG_use1</v>
      </c>
      <c r="J2" s="3" t="str">
        <f>AE_A!M1</f>
        <v>LoanR_use1</v>
      </c>
      <c r="K2" s="3" t="str">
        <f>AE_A!N1</f>
        <v>LFC_use1</v>
      </c>
      <c r="L2" s="3" t="str">
        <f>AE_A!O1</f>
        <v>Tax_use1</v>
      </c>
      <c r="M2" s="3" t="str">
        <f>AE_A!P1</f>
        <v>Liquidity_use1</v>
      </c>
      <c r="N2" s="3" t="str">
        <f>AE_A!Q1</f>
        <v>LTD_use1</v>
      </c>
      <c r="O2" s="3" t="str">
        <f>AE_A!R1</f>
        <v>LFX_use1</v>
      </c>
      <c r="P2" s="3" t="str">
        <f>AE_A!S1</f>
        <v>RR_use1</v>
      </c>
      <c r="Q2" s="3" t="str">
        <f>AE_A!T1</f>
        <v>SIFI_use1</v>
      </c>
      <c r="R2" s="3" t="str">
        <f>AE_A!U1</f>
        <v>OT_use1</v>
      </c>
    </row>
    <row r="3" spans="1:18" s="3" customFormat="1" ht="30" x14ac:dyDescent="0.25">
      <c r="A3" s="8"/>
      <c r="B3" s="8" t="s">
        <v>23</v>
      </c>
      <c r="C3" s="8" t="s">
        <v>6</v>
      </c>
      <c r="D3" s="8" t="s">
        <v>10</v>
      </c>
      <c r="E3" s="8" t="s">
        <v>8</v>
      </c>
      <c r="F3" s="8" t="s">
        <v>9</v>
      </c>
      <c r="G3" s="8" t="s">
        <v>7</v>
      </c>
      <c r="H3" s="8" t="s">
        <v>11</v>
      </c>
      <c r="I3" s="8" t="s">
        <v>12</v>
      </c>
      <c r="J3" s="8" t="s">
        <v>13</v>
      </c>
      <c r="K3" s="8" t="s">
        <v>14</v>
      </c>
      <c r="L3" s="8" t="s">
        <v>15</v>
      </c>
      <c r="M3" s="8" t="s">
        <v>16</v>
      </c>
      <c r="N3" s="8" t="s">
        <v>17</v>
      </c>
      <c r="O3" s="8" t="s">
        <v>18</v>
      </c>
      <c r="P3" s="8" t="s">
        <v>19</v>
      </c>
      <c r="Q3" s="8" t="s">
        <v>20</v>
      </c>
      <c r="R3" s="8" t="s">
        <v>21</v>
      </c>
    </row>
    <row r="4" spans="1:18" s="3" customFormat="1" x14ac:dyDescent="0.25">
      <c r="A4" s="2" t="s">
        <v>22</v>
      </c>
      <c r="B4" s="1">
        <f>ALL_A!E33</f>
        <v>25</v>
      </c>
      <c r="C4" s="1">
        <f>ALL_A!F33</f>
        <v>98</v>
      </c>
      <c r="D4" s="1">
        <f>ALL_A!G33</f>
        <v>81</v>
      </c>
      <c r="E4" s="1">
        <f>ALL_A!H33</f>
        <v>86</v>
      </c>
      <c r="F4" s="1">
        <f>ALL_A!I33</f>
        <v>97</v>
      </c>
      <c r="G4" s="1">
        <f>ALL_A!J33</f>
        <v>67</v>
      </c>
      <c r="H4" s="1">
        <f>ALL_A!K33</f>
        <v>55</v>
      </c>
      <c r="I4" s="1">
        <f>ALL_A!L33</f>
        <v>18</v>
      </c>
      <c r="J4" s="1">
        <f>ALL_A!M33</f>
        <v>79</v>
      </c>
      <c r="K4" s="1">
        <f>ALL_A!N33</f>
        <v>29</v>
      </c>
      <c r="L4" s="1">
        <f>ALL_A!O33</f>
        <v>24</v>
      </c>
      <c r="M4" s="1">
        <f>ALL_A!P33</f>
        <v>113</v>
      </c>
      <c r="N4" s="1">
        <f>ALL_A!Q33</f>
        <v>20</v>
      </c>
      <c r="O4" s="1">
        <f>ALL_A!R33</f>
        <v>79</v>
      </c>
      <c r="P4" s="1">
        <f>ALL_A!S33</f>
        <v>85</v>
      </c>
      <c r="Q4" s="1">
        <f>ALL_A!T33</f>
        <v>88</v>
      </c>
      <c r="R4" s="1">
        <f>ALL_A!U33</f>
        <v>79</v>
      </c>
    </row>
    <row r="5" spans="1:18" x14ac:dyDescent="0.25">
      <c r="A5" s="2" t="s">
        <v>0</v>
      </c>
      <c r="B5" s="1">
        <f>AE_A!E33</f>
        <v>17</v>
      </c>
      <c r="C5" s="1">
        <f>AE_A!F33</f>
        <v>34</v>
      </c>
      <c r="D5" s="1">
        <f>AE_A!G33</f>
        <v>28</v>
      </c>
      <c r="E5" s="1">
        <f>AE_A!H33</f>
        <v>31</v>
      </c>
      <c r="F5" s="1">
        <f>AE_A!I33</f>
        <v>34</v>
      </c>
      <c r="G5" s="1">
        <f>AE_A!J33</f>
        <v>27</v>
      </c>
      <c r="H5" s="1">
        <f>AE_A!K33</f>
        <v>21</v>
      </c>
      <c r="I5" s="1">
        <f>AE_A!L33</f>
        <v>3</v>
      </c>
      <c r="J5" s="1">
        <f>AE_A!M33</f>
        <v>24</v>
      </c>
      <c r="K5" s="1">
        <f>AE_A!N33</f>
        <v>4</v>
      </c>
      <c r="L5" s="1">
        <f>AE_A!O33</f>
        <v>14</v>
      </c>
      <c r="M5" s="1">
        <f>AE_A!P33</f>
        <v>36</v>
      </c>
      <c r="N5" s="1">
        <f>AE_A!Q33</f>
        <v>2</v>
      </c>
      <c r="O5" s="1">
        <f>AE_A!R33</f>
        <v>1</v>
      </c>
      <c r="P5" s="1">
        <f>AE_A!S33</f>
        <v>25</v>
      </c>
      <c r="Q5" s="1">
        <f>AE_A!T33</f>
        <v>35</v>
      </c>
      <c r="R5" s="1">
        <f>AE_A!U33</f>
        <v>33</v>
      </c>
    </row>
    <row r="6" spans="1:18" x14ac:dyDescent="0.25">
      <c r="A6" s="2" t="s">
        <v>1</v>
      </c>
      <c r="B6" s="1">
        <f>EMDE_A!E33</f>
        <v>8</v>
      </c>
      <c r="C6" s="1">
        <f>EMDE_A!F33</f>
        <v>64</v>
      </c>
      <c r="D6" s="1">
        <f>EMDE_A!G33</f>
        <v>53</v>
      </c>
      <c r="E6" s="1">
        <f>EMDE_A!H33</f>
        <v>55</v>
      </c>
      <c r="F6" s="1">
        <f>EMDE_A!I33</f>
        <v>63</v>
      </c>
      <c r="G6" s="1">
        <f>EMDE_A!J33</f>
        <v>40</v>
      </c>
      <c r="H6" s="1">
        <f>EMDE_A!K33</f>
        <v>34</v>
      </c>
      <c r="I6" s="1">
        <f>EMDE_A!L33</f>
        <v>15</v>
      </c>
      <c r="J6" s="1">
        <f>EMDE_A!M33</f>
        <v>55</v>
      </c>
      <c r="K6" s="1">
        <f>EMDE_A!N33</f>
        <v>25</v>
      </c>
      <c r="L6" s="1">
        <f>EMDE_A!O33</f>
        <v>10</v>
      </c>
      <c r="M6" s="1">
        <f>EMDE_A!P33</f>
        <v>77</v>
      </c>
      <c r="N6" s="1">
        <f>EMDE_A!Q33</f>
        <v>18</v>
      </c>
      <c r="O6" s="1">
        <f>EMDE_A!R33</f>
        <v>78</v>
      </c>
      <c r="P6" s="1">
        <f>EMDE_A!S33</f>
        <v>60</v>
      </c>
      <c r="Q6" s="1">
        <f>EMDE_A!T33</f>
        <v>53</v>
      </c>
      <c r="R6" s="1">
        <f>EMDE_A!U33</f>
        <v>46</v>
      </c>
    </row>
    <row r="8" spans="1:18" x14ac:dyDescent="0.25">
      <c r="A8" s="4" t="s">
        <v>55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</row>
    <row r="9" spans="1:18" x14ac:dyDescent="0.25">
      <c r="B9" t="s">
        <v>12</v>
      </c>
      <c r="C9" t="s">
        <v>17</v>
      </c>
      <c r="D9" t="s">
        <v>15</v>
      </c>
      <c r="E9" t="s">
        <v>23</v>
      </c>
      <c r="F9" t="s">
        <v>14</v>
      </c>
      <c r="G9" t="s">
        <v>11</v>
      </c>
      <c r="H9" t="s">
        <v>7</v>
      </c>
      <c r="I9" t="s">
        <v>13</v>
      </c>
      <c r="J9" t="s">
        <v>18</v>
      </c>
      <c r="K9" t="s">
        <v>21</v>
      </c>
      <c r="L9" t="s">
        <v>10</v>
      </c>
      <c r="M9" t="s">
        <v>19</v>
      </c>
      <c r="N9" t="s">
        <v>8</v>
      </c>
      <c r="O9" t="s">
        <v>20</v>
      </c>
      <c r="P9" t="s">
        <v>9</v>
      </c>
      <c r="Q9" t="s">
        <v>6</v>
      </c>
      <c r="R9" t="s">
        <v>16</v>
      </c>
    </row>
    <row r="10" spans="1:18" x14ac:dyDescent="0.25">
      <c r="A10" t="s">
        <v>22</v>
      </c>
      <c r="B10">
        <v>18</v>
      </c>
      <c r="C10">
        <v>20</v>
      </c>
      <c r="D10">
        <v>24</v>
      </c>
      <c r="E10">
        <v>25</v>
      </c>
      <c r="F10">
        <v>29</v>
      </c>
      <c r="G10">
        <v>55</v>
      </c>
      <c r="H10">
        <v>67</v>
      </c>
      <c r="I10">
        <v>79</v>
      </c>
      <c r="J10">
        <v>79</v>
      </c>
      <c r="K10">
        <v>79</v>
      </c>
      <c r="L10">
        <v>81</v>
      </c>
      <c r="M10">
        <v>85</v>
      </c>
      <c r="N10">
        <v>86</v>
      </c>
      <c r="O10">
        <v>88</v>
      </c>
      <c r="P10">
        <v>97</v>
      </c>
      <c r="Q10">
        <v>98</v>
      </c>
      <c r="R10">
        <v>113</v>
      </c>
    </row>
    <row r="12" spans="1:18" x14ac:dyDescent="0.25">
      <c r="B12" t="s">
        <v>18</v>
      </c>
      <c r="C12" t="s">
        <v>17</v>
      </c>
      <c r="D12" t="s">
        <v>12</v>
      </c>
      <c r="E12" t="s">
        <v>14</v>
      </c>
      <c r="F12" t="s">
        <v>15</v>
      </c>
      <c r="G12" t="s">
        <v>23</v>
      </c>
      <c r="H12" t="s">
        <v>11</v>
      </c>
      <c r="I12" t="s">
        <v>13</v>
      </c>
      <c r="J12" t="s">
        <v>19</v>
      </c>
      <c r="K12" t="s">
        <v>7</v>
      </c>
      <c r="L12" t="s">
        <v>10</v>
      </c>
      <c r="M12" t="s">
        <v>8</v>
      </c>
      <c r="N12" t="s">
        <v>21</v>
      </c>
      <c r="O12" t="s">
        <v>6</v>
      </c>
      <c r="P12" t="s">
        <v>9</v>
      </c>
      <c r="Q12" t="s">
        <v>20</v>
      </c>
      <c r="R12" t="s">
        <v>16</v>
      </c>
    </row>
    <row r="13" spans="1:18" x14ac:dyDescent="0.25">
      <c r="A13" t="s">
        <v>0</v>
      </c>
      <c r="B13">
        <v>1</v>
      </c>
      <c r="C13">
        <v>2</v>
      </c>
      <c r="D13">
        <v>3</v>
      </c>
      <c r="E13">
        <v>4</v>
      </c>
      <c r="F13">
        <v>14</v>
      </c>
      <c r="G13">
        <v>17</v>
      </c>
      <c r="H13">
        <v>21</v>
      </c>
      <c r="I13">
        <v>24</v>
      </c>
      <c r="J13">
        <v>25</v>
      </c>
      <c r="K13">
        <v>27</v>
      </c>
      <c r="L13">
        <v>28</v>
      </c>
      <c r="M13">
        <v>31</v>
      </c>
      <c r="N13">
        <v>33</v>
      </c>
      <c r="O13">
        <v>34</v>
      </c>
      <c r="P13">
        <v>34</v>
      </c>
      <c r="Q13">
        <v>35</v>
      </c>
      <c r="R13">
        <v>36</v>
      </c>
    </row>
    <row r="15" spans="1:18" x14ac:dyDescent="0.25">
      <c r="B15" t="s">
        <v>23</v>
      </c>
      <c r="C15" t="s">
        <v>15</v>
      </c>
      <c r="D15" t="s">
        <v>12</v>
      </c>
      <c r="E15" t="s">
        <v>17</v>
      </c>
      <c r="F15" t="s">
        <v>14</v>
      </c>
      <c r="G15" t="s">
        <v>11</v>
      </c>
      <c r="H15" t="s">
        <v>7</v>
      </c>
      <c r="I15" t="s">
        <v>21</v>
      </c>
      <c r="J15" t="s">
        <v>10</v>
      </c>
      <c r="K15" t="s">
        <v>20</v>
      </c>
      <c r="L15" t="s">
        <v>8</v>
      </c>
      <c r="M15" t="s">
        <v>13</v>
      </c>
      <c r="N15" t="s">
        <v>19</v>
      </c>
      <c r="O15" t="s">
        <v>9</v>
      </c>
      <c r="P15" t="s">
        <v>6</v>
      </c>
      <c r="Q15" t="s">
        <v>16</v>
      </c>
      <c r="R15" t="s">
        <v>18</v>
      </c>
    </row>
    <row r="16" spans="1:18" x14ac:dyDescent="0.25">
      <c r="A16" t="s">
        <v>1</v>
      </c>
      <c r="B16">
        <v>8</v>
      </c>
      <c r="C16">
        <v>10</v>
      </c>
      <c r="D16">
        <v>15</v>
      </c>
      <c r="E16">
        <v>18</v>
      </c>
      <c r="F16">
        <v>25</v>
      </c>
      <c r="G16">
        <v>34</v>
      </c>
      <c r="H16">
        <v>40</v>
      </c>
      <c r="I16">
        <v>46</v>
      </c>
      <c r="J16">
        <v>53</v>
      </c>
      <c r="K16">
        <v>53</v>
      </c>
      <c r="L16">
        <v>55</v>
      </c>
      <c r="M16">
        <v>55</v>
      </c>
      <c r="N16">
        <v>60</v>
      </c>
      <c r="O16">
        <v>63</v>
      </c>
      <c r="P16">
        <v>64</v>
      </c>
      <c r="Q16">
        <v>77</v>
      </c>
      <c r="R16">
        <v>78</v>
      </c>
    </row>
  </sheetData>
  <sortState xmlns:xlrd2="http://schemas.microsoft.com/office/spreadsheetml/2017/richdata2" columnSort="1" ref="B15:R16">
    <sortCondition ref="B16:R16"/>
  </sortState>
  <mergeCells count="2">
    <mergeCell ref="A1:A2"/>
    <mergeCell ref="B1:R1"/>
  </mergeCells>
  <hyperlinks>
    <hyperlink ref="A1" location="'Table of Contents'!A1" display="Back to TOC" xr:uid="{00000000-0004-0000-0200-000000000000}"/>
  </hyperlink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tabColor rgb="FFC00000"/>
  </sheetPr>
  <dimension ref="A1:S16"/>
  <sheetViews>
    <sheetView zoomScale="80" zoomScaleNormal="80" workbookViewId="0">
      <selection activeCell="T13" sqref="T13"/>
    </sheetView>
  </sheetViews>
  <sheetFormatPr defaultRowHeight="15" x14ac:dyDescent="0.25"/>
  <cols>
    <col min="2" max="2" width="9.140625" collapsed="1"/>
    <col min="3" max="3" width="10.140625" customWidth="1"/>
    <col min="10" max="10" width="9.140625" customWidth="1"/>
    <col min="11" max="12" width="9.140625" customWidth="1" collapsed="1"/>
  </cols>
  <sheetData>
    <row r="1" spans="1:19" x14ac:dyDescent="0.25">
      <c r="A1" s="31" t="s">
        <v>50</v>
      </c>
      <c r="B1" s="32" t="s">
        <v>162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</row>
    <row r="2" spans="1:19" s="3" customFormat="1" ht="30" x14ac:dyDescent="0.25">
      <c r="A2" s="31"/>
      <c r="B2" s="3" t="str">
        <f>Act_ALL!B1</f>
        <v>CCB_act</v>
      </c>
      <c r="C2" s="3" t="str">
        <f>Act_ALL!C1</f>
        <v>Conservation_act</v>
      </c>
      <c r="D2" s="3" t="str">
        <f>Act_ALL!D1</f>
        <v>LVR_act</v>
      </c>
      <c r="E2" s="3" t="str">
        <f>Act_ALL!E1</f>
        <v>LLP_act</v>
      </c>
      <c r="F2" s="3" t="str">
        <f>Act_ALL!F1</f>
        <v>Capital_act</v>
      </c>
      <c r="G2" s="3" t="str">
        <f>Act_ALL!G1</f>
        <v>LTV_act</v>
      </c>
      <c r="H2" s="3" t="str">
        <f>Act_ALL!H1</f>
        <v>DSTI_act</v>
      </c>
      <c r="I2" s="3" t="str">
        <f>Act_ALL!I1</f>
        <v>LCG_act</v>
      </c>
      <c r="J2" s="3" t="str">
        <f>Act_ALL!J1</f>
        <v>LoanR_act</v>
      </c>
      <c r="K2" s="3" t="str">
        <f>Act_ALL!K1</f>
        <v>LFC_act</v>
      </c>
      <c r="L2" s="3" t="str">
        <f>Act_ALL!L1</f>
        <v>Tax_act</v>
      </c>
      <c r="M2" s="3" t="str">
        <f>Act_ALL!M1</f>
        <v>Liquidity_act</v>
      </c>
      <c r="N2" s="3" t="str">
        <f>Act_ALL!N1</f>
        <v>LTD_act</v>
      </c>
      <c r="O2" s="3" t="str">
        <f>Act_ALL!O1</f>
        <v>LFX_act</v>
      </c>
      <c r="P2" s="3" t="str">
        <f>Act_ALL!P1</f>
        <v>RR_act</v>
      </c>
      <c r="Q2" s="3" t="str">
        <f>Act_ALL!Q1</f>
        <v>SIFI_act</v>
      </c>
      <c r="R2" s="3" t="str">
        <f>Act_ALL!R1</f>
        <v>OT_act</v>
      </c>
      <c r="S2" s="3" t="str">
        <f>Act_ALL!S1</f>
        <v>SUM_17_act</v>
      </c>
    </row>
    <row r="3" spans="1:19" s="8" customFormat="1" ht="30" x14ac:dyDescent="0.25">
      <c r="B3" s="8" t="s">
        <v>23</v>
      </c>
      <c r="C3" s="8" t="s">
        <v>6</v>
      </c>
      <c r="D3" s="8" t="s">
        <v>10</v>
      </c>
      <c r="E3" s="8" t="s">
        <v>8</v>
      </c>
      <c r="F3" s="8" t="s">
        <v>9</v>
      </c>
      <c r="G3" s="8" t="s">
        <v>7</v>
      </c>
      <c r="H3" s="8" t="s">
        <v>11</v>
      </c>
      <c r="I3" s="8" t="s">
        <v>12</v>
      </c>
      <c r="J3" s="8" t="s">
        <v>13</v>
      </c>
      <c r="K3" s="8" t="s">
        <v>14</v>
      </c>
      <c r="L3" s="8" t="s">
        <v>15</v>
      </c>
      <c r="M3" s="8" t="s">
        <v>16</v>
      </c>
      <c r="N3" s="8" t="s">
        <v>17</v>
      </c>
      <c r="O3" s="8" t="s">
        <v>18</v>
      </c>
      <c r="P3" s="8" t="s">
        <v>19</v>
      </c>
      <c r="Q3" s="8" t="s">
        <v>20</v>
      </c>
      <c r="R3" s="8" t="s">
        <v>21</v>
      </c>
    </row>
    <row r="4" spans="1:19" s="3" customFormat="1" x14ac:dyDescent="0.25">
      <c r="A4" s="2" t="s">
        <v>22</v>
      </c>
      <c r="B4" s="6">
        <f>Act_ALL!B2</f>
        <v>4.4191919267177582E-2</v>
      </c>
      <c r="C4" s="6">
        <f>Act_ALL!C2</f>
        <v>0.21382430195808411</v>
      </c>
      <c r="D4" s="6">
        <f>Act_ALL!D2</f>
        <v>6.5920397639274597E-2</v>
      </c>
      <c r="E4" s="6">
        <f>Act_ALL!E2</f>
        <v>0.11466164886951447</v>
      </c>
      <c r="F4" s="6">
        <f>Act_ALL!F2</f>
        <v>0.17543859779834747</v>
      </c>
      <c r="G4" s="6">
        <f>Act_ALL!G2</f>
        <v>0.12593984603881836</v>
      </c>
      <c r="H4" s="6">
        <f>Act_ALL!H2</f>
        <v>7.6441101729869843E-2</v>
      </c>
      <c r="I4" s="6">
        <f>Act_ALL!I2</f>
        <v>1.0814249515533447E-2</v>
      </c>
      <c r="J4" s="6">
        <f>Act_ALL!J2</f>
        <v>0.11513994634151459</v>
      </c>
      <c r="K4" s="6">
        <f>Act_ALL!K2</f>
        <v>1.6917292028665543E-2</v>
      </c>
      <c r="L4" s="6">
        <f>Act_ALL!L2</f>
        <v>4.0404044091701508E-2</v>
      </c>
      <c r="M4" s="6">
        <f>Act_ALL!M2</f>
        <v>0.32524874806404114</v>
      </c>
      <c r="N4" s="6">
        <f>Act_ALL!N2</f>
        <v>2.0676692947745323E-2</v>
      </c>
      <c r="O4" s="6">
        <f>Act_ALL!O2</f>
        <v>6.1403509229421616E-2</v>
      </c>
      <c r="P4" s="6">
        <f>Act_ALL!P2</f>
        <v>0.17164179682731628</v>
      </c>
      <c r="Q4" s="6">
        <f>Act_ALL!Q2</f>
        <v>0.16353383660316467</v>
      </c>
      <c r="R4" s="6">
        <f>Act_ALL!R2</f>
        <v>0.14898990094661713</v>
      </c>
      <c r="S4" s="6">
        <f>Act_ALL!S2</f>
        <v>1.2543531656265259</v>
      </c>
    </row>
    <row r="5" spans="1:19" x14ac:dyDescent="0.25">
      <c r="A5" s="2" t="s">
        <v>0</v>
      </c>
      <c r="B5" s="6">
        <f>Act_AEEM!C3</f>
        <v>0.13657408952713013</v>
      </c>
      <c r="C5" s="6">
        <f>Act_AEEM!D3</f>
        <v>0.29629629850387573</v>
      </c>
      <c r="D5" s="6">
        <f>Act_AEEM!E3</f>
        <v>0.10185185819864273</v>
      </c>
      <c r="E5" s="6">
        <f>Act_AEEM!F3</f>
        <v>0.19907405972480774</v>
      </c>
      <c r="F5" s="6">
        <f>Act_AEEM!G3</f>
        <v>0.25</v>
      </c>
      <c r="G5" s="6">
        <f>Act_AEEM!H3</f>
        <v>0.21990740299224854</v>
      </c>
      <c r="H5" s="6">
        <f>Act_AEEM!I3</f>
        <v>0.16203704476356506</v>
      </c>
      <c r="I5" s="6">
        <f>Act_AEEM!J3</f>
        <v>6.9444444961845875E-3</v>
      </c>
      <c r="J5" s="6">
        <f>Act_AEEM!K3</f>
        <v>0.1388888955116272</v>
      </c>
      <c r="K5" s="6">
        <f>Act_AEEM!L3</f>
        <v>1.3888888992369175E-2</v>
      </c>
      <c r="L5" s="6">
        <f>Act_AEEM!M3</f>
        <v>8.5648149251937866E-2</v>
      </c>
      <c r="M5" s="6">
        <f>Act_AEEM!N3</f>
        <v>0.45601853728294373</v>
      </c>
      <c r="N5" s="6">
        <f>Act_AEEM!O3</f>
        <v>1.8518518656492233E-2</v>
      </c>
      <c r="O5" s="6">
        <f>Act_AEEM!P3</f>
        <v>1.1574074625968933E-2</v>
      </c>
      <c r="P5" s="6">
        <f>Act_AEEM!Q3</f>
        <v>4.6296298503875732E-2</v>
      </c>
      <c r="Q5" s="6">
        <f>Act_AEEM!R3</f>
        <v>0.32870370149612427</v>
      </c>
      <c r="R5" s="6">
        <f>Act_AEEM!S3</f>
        <v>0.3333333432674408</v>
      </c>
      <c r="S5" s="7">
        <f>Act_AEEM!T3</f>
        <v>1.7152779102325439</v>
      </c>
    </row>
    <row r="6" spans="1:19" x14ac:dyDescent="0.25">
      <c r="A6" s="2" t="s">
        <v>1</v>
      </c>
      <c r="B6" s="6">
        <f>Act_AEEM!C2</f>
        <v>9.548611007630825E-3</v>
      </c>
      <c r="C6" s="6">
        <f>Act_AEEM!D2</f>
        <v>0.18189965188503265</v>
      </c>
      <c r="D6" s="6">
        <f>Act_AEEM!E2</f>
        <v>5.2721086889505386E-2</v>
      </c>
      <c r="E6" s="6">
        <f>Act_AEEM!F2</f>
        <v>8.3333335816860199E-2</v>
      </c>
      <c r="F6" s="6">
        <f>Act_AEEM!G2</f>
        <v>0.14776632189750671</v>
      </c>
      <c r="G6" s="6">
        <f>Act_AEEM!H2</f>
        <v>9.1065295040607452E-2</v>
      </c>
      <c r="H6" s="6">
        <f>Act_AEEM!I2</f>
        <v>4.4673539698123932E-2</v>
      </c>
      <c r="I6" s="6">
        <f>Act_AEEM!J2</f>
        <v>1.2280702590942383E-2</v>
      </c>
      <c r="J6" s="6">
        <f>Act_AEEM!K2</f>
        <v>0.10614035278558731</v>
      </c>
      <c r="K6" s="6">
        <f>Act_AEEM!L2</f>
        <v>1.8041238188743591E-2</v>
      </c>
      <c r="L6" s="6">
        <f>Act_AEEM!M2</f>
        <v>2.34375E-2</v>
      </c>
      <c r="M6" s="6">
        <f>Act_AEEM!N2</f>
        <v>0.27721089124679565</v>
      </c>
      <c r="N6" s="6">
        <f>Act_AEEM!O2</f>
        <v>2.1477663889527321E-2</v>
      </c>
      <c r="O6" s="6">
        <f>Act_AEEM!P2</f>
        <v>7.9896911978721619E-2</v>
      </c>
      <c r="P6" s="6">
        <f>Act_AEEM!Q2</f>
        <v>0.21768707036972046</v>
      </c>
      <c r="Q6" s="6">
        <f>Act_AEEM!R2</f>
        <v>0.10223367810249329</v>
      </c>
      <c r="R6" s="6">
        <f>Act_AEEM!S2</f>
        <v>7.98611119389534E-2</v>
      </c>
      <c r="S6" s="7">
        <f>Act_AEEM!T2</f>
        <v>1.0850340127944946</v>
      </c>
    </row>
    <row r="7" spans="1:19" x14ac:dyDescent="0.25">
      <c r="A7" s="2"/>
    </row>
    <row r="8" spans="1:19" x14ac:dyDescent="0.25">
      <c r="A8" s="4" t="s">
        <v>54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</row>
    <row r="9" spans="1:19" x14ac:dyDescent="0.25">
      <c r="B9" t="s">
        <v>12</v>
      </c>
      <c r="C9" t="s">
        <v>14</v>
      </c>
      <c r="D9" t="s">
        <v>17</v>
      </c>
      <c r="E9" t="s">
        <v>15</v>
      </c>
      <c r="F9" t="s">
        <v>23</v>
      </c>
      <c r="G9" t="s">
        <v>18</v>
      </c>
      <c r="H9" t="s">
        <v>10</v>
      </c>
      <c r="I9" t="s">
        <v>11</v>
      </c>
      <c r="J9" t="s">
        <v>8</v>
      </c>
      <c r="K9" t="s">
        <v>13</v>
      </c>
      <c r="L9" t="s">
        <v>7</v>
      </c>
      <c r="M9" t="s">
        <v>21</v>
      </c>
      <c r="N9" t="s">
        <v>20</v>
      </c>
      <c r="O9" t="s">
        <v>19</v>
      </c>
      <c r="P9" t="s">
        <v>9</v>
      </c>
      <c r="Q9" t="s">
        <v>6</v>
      </c>
      <c r="R9" t="s">
        <v>16</v>
      </c>
    </row>
    <row r="10" spans="1:19" x14ac:dyDescent="0.25">
      <c r="A10" s="6" t="s">
        <v>22</v>
      </c>
      <c r="B10" s="6">
        <v>1.0814249515533447E-2</v>
      </c>
      <c r="C10" s="6">
        <v>1.6917292028665543E-2</v>
      </c>
      <c r="D10" s="6">
        <v>2.0676692947745323E-2</v>
      </c>
      <c r="E10" s="6">
        <v>4.0404044091701508E-2</v>
      </c>
      <c r="F10" s="6">
        <v>4.4191919267177582E-2</v>
      </c>
      <c r="G10" s="6">
        <v>6.1403509229421616E-2</v>
      </c>
      <c r="H10" s="6">
        <v>6.5920397639274597E-2</v>
      </c>
      <c r="I10" s="6">
        <v>7.6441101729869843E-2</v>
      </c>
      <c r="J10" s="6">
        <v>0.11466164886951447</v>
      </c>
      <c r="K10" s="6">
        <v>0.11513994634151459</v>
      </c>
      <c r="L10" s="6">
        <v>0.12593984603881836</v>
      </c>
      <c r="M10" s="6">
        <v>0.14898990094661713</v>
      </c>
      <c r="N10" s="6">
        <v>0.16353383660316467</v>
      </c>
      <c r="O10" s="6">
        <v>0.17164179682731628</v>
      </c>
      <c r="P10" s="6">
        <v>0.17543859779834747</v>
      </c>
      <c r="Q10" s="6">
        <v>0.21382430195808411</v>
      </c>
      <c r="R10" s="6">
        <v>0.32524874806404114</v>
      </c>
    </row>
    <row r="12" spans="1:19" x14ac:dyDescent="0.25">
      <c r="B12" t="s">
        <v>12</v>
      </c>
      <c r="C12" t="s">
        <v>18</v>
      </c>
      <c r="D12" t="s">
        <v>14</v>
      </c>
      <c r="E12" t="s">
        <v>17</v>
      </c>
      <c r="F12" t="s">
        <v>19</v>
      </c>
      <c r="G12" t="s">
        <v>15</v>
      </c>
      <c r="H12" t="s">
        <v>10</v>
      </c>
      <c r="I12" t="s">
        <v>23</v>
      </c>
      <c r="J12" t="s">
        <v>13</v>
      </c>
      <c r="K12" t="s">
        <v>11</v>
      </c>
      <c r="L12" t="s">
        <v>8</v>
      </c>
      <c r="M12" t="s">
        <v>7</v>
      </c>
      <c r="N12" t="s">
        <v>9</v>
      </c>
      <c r="O12" t="s">
        <v>6</v>
      </c>
      <c r="P12" t="s">
        <v>20</v>
      </c>
      <c r="Q12" t="s">
        <v>21</v>
      </c>
      <c r="R12" t="s">
        <v>16</v>
      </c>
    </row>
    <row r="13" spans="1:19" x14ac:dyDescent="0.25">
      <c r="A13" s="6" t="s">
        <v>0</v>
      </c>
      <c r="B13" s="6">
        <v>6.9444444961845875E-3</v>
      </c>
      <c r="C13" s="6">
        <v>1.1574074625968933E-2</v>
      </c>
      <c r="D13" s="6">
        <v>1.3888888992369175E-2</v>
      </c>
      <c r="E13" s="6">
        <v>1.8518518656492233E-2</v>
      </c>
      <c r="F13" s="6">
        <v>4.6296298503875732E-2</v>
      </c>
      <c r="G13" s="6">
        <v>8.5648149251937866E-2</v>
      </c>
      <c r="H13" s="6">
        <v>0.10185185819864273</v>
      </c>
      <c r="I13" s="6">
        <v>0.13657408952713013</v>
      </c>
      <c r="J13" s="6">
        <v>0.1388888955116272</v>
      </c>
      <c r="K13" s="6">
        <v>0.16203704476356506</v>
      </c>
      <c r="L13" s="6">
        <v>0.19907405972480774</v>
      </c>
      <c r="M13" s="6">
        <v>0.21990740299224854</v>
      </c>
      <c r="N13" s="6">
        <v>0.25</v>
      </c>
      <c r="O13" s="6">
        <v>0.29629629850387573</v>
      </c>
      <c r="P13" s="6">
        <v>0.32870370149612427</v>
      </c>
      <c r="Q13" s="6">
        <v>0.3333333432674408</v>
      </c>
      <c r="R13" s="6">
        <v>0.45601853728294373</v>
      </c>
    </row>
    <row r="15" spans="1:19" x14ac:dyDescent="0.25">
      <c r="B15" t="s">
        <v>23</v>
      </c>
      <c r="C15" t="s">
        <v>12</v>
      </c>
      <c r="D15" t="s">
        <v>14</v>
      </c>
      <c r="E15" t="s">
        <v>17</v>
      </c>
      <c r="F15" t="s">
        <v>15</v>
      </c>
      <c r="G15" t="s">
        <v>11</v>
      </c>
      <c r="H15" t="s">
        <v>10</v>
      </c>
      <c r="I15" t="s">
        <v>21</v>
      </c>
      <c r="J15" t="s">
        <v>18</v>
      </c>
      <c r="K15" t="s">
        <v>8</v>
      </c>
      <c r="L15" t="s">
        <v>7</v>
      </c>
      <c r="M15" t="s">
        <v>20</v>
      </c>
      <c r="N15" t="s">
        <v>13</v>
      </c>
      <c r="O15" t="s">
        <v>9</v>
      </c>
      <c r="P15" t="s">
        <v>6</v>
      </c>
      <c r="Q15" t="s">
        <v>19</v>
      </c>
      <c r="R15" t="s">
        <v>16</v>
      </c>
    </row>
    <row r="16" spans="1:19" x14ac:dyDescent="0.25">
      <c r="A16" s="6" t="s">
        <v>1</v>
      </c>
      <c r="B16" s="6">
        <v>9.548611007630825E-3</v>
      </c>
      <c r="C16" s="6">
        <v>1.2280702590942383E-2</v>
      </c>
      <c r="D16" s="6">
        <v>1.8041238188743591E-2</v>
      </c>
      <c r="E16" s="6">
        <v>2.1477663889527321E-2</v>
      </c>
      <c r="F16" s="6">
        <v>2.34375E-2</v>
      </c>
      <c r="G16" s="6">
        <v>4.4673539698123932E-2</v>
      </c>
      <c r="H16" s="6">
        <v>5.2721086889505386E-2</v>
      </c>
      <c r="I16" s="6">
        <v>7.98611119389534E-2</v>
      </c>
      <c r="J16" s="6">
        <v>7.9896911978721619E-2</v>
      </c>
      <c r="K16" s="6">
        <v>8.3333335816860199E-2</v>
      </c>
      <c r="L16" s="6">
        <v>9.1065295040607452E-2</v>
      </c>
      <c r="M16" s="6">
        <v>0.10223367810249329</v>
      </c>
      <c r="N16" s="6">
        <v>0.10614035278558731</v>
      </c>
      <c r="O16" s="6">
        <v>0.14776632189750671</v>
      </c>
      <c r="P16" s="6">
        <v>0.18189965188503265</v>
      </c>
      <c r="Q16" s="6">
        <v>0.21768707036972046</v>
      </c>
      <c r="R16" s="6">
        <v>0.27721089124679565</v>
      </c>
    </row>
  </sheetData>
  <sortState xmlns:xlrd2="http://schemas.microsoft.com/office/spreadsheetml/2017/richdata2" columnSort="1" ref="B15:R16">
    <sortCondition ref="B16:R16"/>
  </sortState>
  <mergeCells count="2">
    <mergeCell ref="A1:A2"/>
    <mergeCell ref="B1:R1"/>
  </mergeCells>
  <hyperlinks>
    <hyperlink ref="A1" location="'Table of Contents'!A1" display="Back to TOC" xr:uid="{00000000-0004-0000-0300-000000000000}"/>
  </hyperlink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152A4-646C-494F-B40D-089BCB0430AD}">
  <sheetPr codeName="Sheet12">
    <tabColor rgb="FFC00000"/>
  </sheetPr>
  <dimension ref="A1:AD130"/>
  <sheetViews>
    <sheetView zoomScale="80" zoomScaleNormal="80" workbookViewId="0">
      <pane xSplit="1" ySplit="2" topLeftCell="B99" activePane="bottomRight" state="frozen"/>
      <selection sqref="A1:C2"/>
      <selection pane="topRight" sqref="A1:C2"/>
      <selection pane="bottomLeft" sqref="A1:C2"/>
      <selection pane="bottomRight" activeCell="F115" sqref="F115"/>
    </sheetView>
  </sheetViews>
  <sheetFormatPr defaultColWidth="9.140625" defaultRowHeight="15" outlineLevelRow="1" x14ac:dyDescent="0.25"/>
  <cols>
    <col min="1" max="1" width="9.140625" style="19"/>
    <col min="2" max="3" width="11.140625" style="19" bestFit="1" customWidth="1"/>
    <col min="4" max="5" width="9.140625" style="19"/>
    <col min="6" max="9" width="9.140625" style="14"/>
    <col min="10" max="16384" width="9.140625" style="19"/>
  </cols>
  <sheetData>
    <row r="1" spans="1:9" ht="12.75" x14ac:dyDescent="0.2">
      <c r="A1" s="31" t="s">
        <v>50</v>
      </c>
      <c r="B1" s="18" t="s">
        <v>41</v>
      </c>
      <c r="F1" s="19"/>
      <c r="G1" s="19"/>
      <c r="H1" s="19"/>
      <c r="I1" s="19"/>
    </row>
    <row r="2" spans="1:9" ht="51" x14ac:dyDescent="0.2">
      <c r="A2" s="31"/>
      <c r="B2" s="20" t="s">
        <v>42</v>
      </c>
      <c r="C2" s="20" t="s">
        <v>43</v>
      </c>
      <c r="D2" s="20"/>
      <c r="E2" s="20"/>
      <c r="F2" s="19"/>
      <c r="G2" s="19"/>
      <c r="H2" s="19"/>
      <c r="I2" s="19"/>
    </row>
    <row r="3" spans="1:9" ht="12.75" hidden="1" outlineLevel="1" x14ac:dyDescent="0.2">
      <c r="A3" s="21">
        <f>Fig4_data!A2</f>
        <v>32874</v>
      </c>
      <c r="B3" s="19">
        <f>Fig4_data!B2</f>
        <v>0</v>
      </c>
      <c r="C3" s="19">
        <f>Fig4_data!C2</f>
        <v>0</v>
      </c>
      <c r="F3" s="19"/>
      <c r="G3" s="19"/>
      <c r="H3" s="19"/>
      <c r="I3" s="19"/>
    </row>
    <row r="4" spans="1:9" ht="12.75" hidden="1" outlineLevel="1" x14ac:dyDescent="0.2">
      <c r="A4" s="21">
        <f>Fig4_data!A3</f>
        <v>32964</v>
      </c>
      <c r="B4" s="19">
        <f>Fig4_data!B3</f>
        <v>0</v>
      </c>
      <c r="C4" s="19">
        <f>Fig4_data!C3</f>
        <v>0</v>
      </c>
      <c r="F4" s="19"/>
      <c r="G4" s="19"/>
      <c r="H4" s="19"/>
      <c r="I4" s="19"/>
    </row>
    <row r="5" spans="1:9" ht="12.75" hidden="1" outlineLevel="1" x14ac:dyDescent="0.2">
      <c r="A5" s="21">
        <f>Fig4_data!A4</f>
        <v>33055</v>
      </c>
      <c r="B5" s="19">
        <f>Fig4_data!B4</f>
        <v>0</v>
      </c>
      <c r="C5" s="19">
        <f>Fig4_data!C4</f>
        <v>0</v>
      </c>
      <c r="F5" s="19"/>
      <c r="G5" s="19"/>
      <c r="H5" s="19"/>
      <c r="I5" s="19"/>
    </row>
    <row r="6" spans="1:9" ht="12.75" hidden="1" outlineLevel="1" x14ac:dyDescent="0.2">
      <c r="A6" s="21">
        <f>Fig4_data!A5</f>
        <v>33147</v>
      </c>
      <c r="B6" s="19">
        <f>Fig4_data!B5</f>
        <v>0</v>
      </c>
      <c r="C6" s="19">
        <f>Fig4_data!C5</f>
        <v>12</v>
      </c>
      <c r="F6" s="19"/>
      <c r="G6" s="19"/>
      <c r="H6" s="19"/>
      <c r="I6" s="19"/>
    </row>
    <row r="7" spans="1:9" ht="12.75" hidden="1" outlineLevel="1" x14ac:dyDescent="0.2">
      <c r="A7" s="21">
        <f>Fig4_data!A6</f>
        <v>33239</v>
      </c>
      <c r="B7" s="19">
        <f>Fig4_data!B6</f>
        <v>-3</v>
      </c>
      <c r="C7" s="19">
        <f>Fig4_data!C6</f>
        <v>8</v>
      </c>
      <c r="F7" s="19"/>
      <c r="G7" s="19"/>
      <c r="H7" s="19"/>
      <c r="I7" s="19"/>
    </row>
    <row r="8" spans="1:9" ht="12.75" hidden="1" outlineLevel="1" x14ac:dyDescent="0.2">
      <c r="A8" s="21">
        <f>Fig4_data!A7</f>
        <v>33329</v>
      </c>
      <c r="B8" s="19">
        <f>Fig4_data!B7</f>
        <v>-2</v>
      </c>
      <c r="C8" s="19">
        <f>Fig4_data!C7</f>
        <v>8</v>
      </c>
      <c r="F8" s="19"/>
      <c r="G8" s="19"/>
      <c r="H8" s="19"/>
      <c r="I8" s="19"/>
    </row>
    <row r="9" spans="1:9" ht="12.75" hidden="1" outlineLevel="1" x14ac:dyDescent="0.2">
      <c r="A9" s="21">
        <f>Fig4_data!A8</f>
        <v>33420</v>
      </c>
      <c r="B9" s="19">
        <f>Fig4_data!B8</f>
        <v>-2</v>
      </c>
      <c r="C9" s="19">
        <f>Fig4_data!C8</f>
        <v>8</v>
      </c>
      <c r="F9" s="19"/>
      <c r="G9" s="19"/>
      <c r="H9" s="19"/>
      <c r="I9" s="19"/>
    </row>
    <row r="10" spans="1:9" ht="12.75" hidden="1" outlineLevel="1" x14ac:dyDescent="0.2">
      <c r="A10" s="21">
        <f>Fig4_data!A9</f>
        <v>33512</v>
      </c>
      <c r="B10" s="19">
        <f>Fig4_data!B9</f>
        <v>-3</v>
      </c>
      <c r="C10" s="19">
        <f>Fig4_data!C9</f>
        <v>4</v>
      </c>
      <c r="F10" s="19"/>
      <c r="G10" s="19"/>
      <c r="H10" s="19"/>
      <c r="I10" s="19"/>
    </row>
    <row r="11" spans="1:9" ht="12.75" hidden="1" outlineLevel="1" x14ac:dyDescent="0.2">
      <c r="A11" s="21">
        <f>Fig4_data!A10</f>
        <v>33604</v>
      </c>
      <c r="B11" s="19">
        <f>Fig4_data!B10</f>
        <v>-4</v>
      </c>
      <c r="C11" s="19">
        <f>Fig4_data!C10</f>
        <v>9</v>
      </c>
      <c r="F11" s="19"/>
      <c r="G11" s="19"/>
      <c r="H11" s="19"/>
      <c r="I11" s="19"/>
    </row>
    <row r="12" spans="1:9" ht="12.75" hidden="1" outlineLevel="1" x14ac:dyDescent="0.2">
      <c r="A12" s="21">
        <f>Fig4_data!A11</f>
        <v>33695</v>
      </c>
      <c r="B12" s="19">
        <f>Fig4_data!B11</f>
        <v>-8</v>
      </c>
      <c r="C12" s="19">
        <f>Fig4_data!C11</f>
        <v>9</v>
      </c>
      <c r="F12" s="19"/>
      <c r="G12" s="19"/>
      <c r="H12" s="19"/>
      <c r="I12" s="19"/>
    </row>
    <row r="13" spans="1:9" ht="12.75" hidden="1" outlineLevel="1" x14ac:dyDescent="0.2">
      <c r="A13" s="21">
        <f>Fig4_data!A12</f>
        <v>33786</v>
      </c>
      <c r="B13" s="19">
        <f>Fig4_data!B12</f>
        <v>-8</v>
      </c>
      <c r="C13" s="19">
        <f>Fig4_data!C12</f>
        <v>10</v>
      </c>
      <c r="F13" s="19"/>
      <c r="G13" s="19"/>
      <c r="H13" s="19"/>
      <c r="I13" s="19"/>
    </row>
    <row r="14" spans="1:9" ht="12.75" hidden="1" outlineLevel="1" x14ac:dyDescent="0.2">
      <c r="A14" s="21">
        <f>Fig4_data!A13</f>
        <v>33878</v>
      </c>
      <c r="B14" s="19">
        <f>Fig4_data!B13</f>
        <v>-6</v>
      </c>
      <c r="C14" s="19">
        <f>Fig4_data!C13</f>
        <v>10</v>
      </c>
      <c r="F14" s="19"/>
      <c r="G14" s="19"/>
      <c r="H14" s="19"/>
      <c r="I14" s="19"/>
    </row>
    <row r="15" spans="1:9" ht="12.75" hidden="1" outlineLevel="1" x14ac:dyDescent="0.2">
      <c r="A15" s="21">
        <f>Fig4_data!A14</f>
        <v>33970</v>
      </c>
      <c r="B15" s="19">
        <f>Fig4_data!B14</f>
        <v>-5</v>
      </c>
      <c r="C15" s="19">
        <f>Fig4_data!C14</f>
        <v>5</v>
      </c>
      <c r="F15" s="19"/>
      <c r="G15" s="19"/>
      <c r="H15" s="19"/>
      <c r="I15" s="19"/>
    </row>
    <row r="16" spans="1:9" ht="12.75" hidden="1" outlineLevel="1" x14ac:dyDescent="0.2">
      <c r="A16" s="21">
        <f>Fig4_data!A15</f>
        <v>34060</v>
      </c>
      <c r="B16" s="19">
        <f>Fig4_data!B15</f>
        <v>-3</v>
      </c>
      <c r="C16" s="19">
        <f>Fig4_data!C15</f>
        <v>2</v>
      </c>
      <c r="F16" s="19"/>
      <c r="G16" s="19"/>
      <c r="H16" s="19"/>
      <c r="I16" s="19"/>
    </row>
    <row r="17" spans="1:9" ht="12.75" hidden="1" outlineLevel="1" x14ac:dyDescent="0.2">
      <c r="A17" s="21">
        <f>Fig4_data!A16</f>
        <v>34151</v>
      </c>
      <c r="B17" s="19">
        <f>Fig4_data!B16</f>
        <v>-4</v>
      </c>
      <c r="C17" s="19">
        <f>Fig4_data!C16</f>
        <v>0</v>
      </c>
      <c r="F17" s="19"/>
      <c r="G17" s="19"/>
      <c r="H17" s="19"/>
      <c r="I17" s="19"/>
    </row>
    <row r="18" spans="1:9" ht="12.75" hidden="1" outlineLevel="1" x14ac:dyDescent="0.2">
      <c r="A18" s="21">
        <f>Fig4_data!A17</f>
        <v>34243</v>
      </c>
      <c r="B18" s="19">
        <f>Fig4_data!B17</f>
        <v>-5</v>
      </c>
      <c r="C18" s="19">
        <f>Fig4_data!C17</f>
        <v>3</v>
      </c>
      <c r="F18" s="19"/>
      <c r="G18" s="19"/>
      <c r="H18" s="19"/>
      <c r="I18" s="19"/>
    </row>
    <row r="19" spans="1:9" ht="12.75" hidden="1" outlineLevel="1" x14ac:dyDescent="0.2">
      <c r="A19" s="21">
        <f>Fig4_data!A18</f>
        <v>34335</v>
      </c>
      <c r="B19" s="19">
        <f>Fig4_data!B18</f>
        <v>-4</v>
      </c>
      <c r="C19" s="19">
        <f>Fig4_data!C18</f>
        <v>9</v>
      </c>
      <c r="F19" s="19"/>
      <c r="G19" s="19"/>
      <c r="H19" s="19"/>
      <c r="I19" s="19"/>
    </row>
    <row r="20" spans="1:9" ht="12.75" hidden="1" outlineLevel="1" x14ac:dyDescent="0.2">
      <c r="A20" s="21">
        <f>Fig4_data!A19</f>
        <v>34425</v>
      </c>
      <c r="B20" s="19">
        <f>Fig4_data!B19</f>
        <v>-5</v>
      </c>
      <c r="C20" s="19">
        <f>Fig4_data!C19</f>
        <v>13</v>
      </c>
      <c r="F20" s="19"/>
      <c r="G20" s="19"/>
      <c r="H20" s="19"/>
      <c r="I20" s="19"/>
    </row>
    <row r="21" spans="1:9" ht="12.75" hidden="1" outlineLevel="1" x14ac:dyDescent="0.2">
      <c r="A21" s="21">
        <f>Fig4_data!A20</f>
        <v>34516</v>
      </c>
      <c r="B21" s="19">
        <f>Fig4_data!B20</f>
        <v>-3</v>
      </c>
      <c r="C21" s="19">
        <f>Fig4_data!C20</f>
        <v>17</v>
      </c>
      <c r="F21" s="19"/>
      <c r="G21" s="19"/>
      <c r="H21" s="19"/>
      <c r="I21" s="19"/>
    </row>
    <row r="22" spans="1:9" ht="12.75" hidden="1" outlineLevel="1" x14ac:dyDescent="0.2">
      <c r="A22" s="21">
        <f>Fig4_data!A21</f>
        <v>34608</v>
      </c>
      <c r="B22" s="19">
        <f>Fig4_data!B21</f>
        <v>-2</v>
      </c>
      <c r="C22" s="19">
        <f>Fig4_data!C21</f>
        <v>13</v>
      </c>
      <c r="F22" s="19"/>
      <c r="G22" s="19"/>
      <c r="H22" s="19"/>
      <c r="I22" s="19"/>
    </row>
    <row r="23" spans="1:9" ht="12.75" hidden="1" outlineLevel="1" x14ac:dyDescent="0.2">
      <c r="A23" s="21">
        <f>Fig4_data!A22</f>
        <v>34700</v>
      </c>
      <c r="B23" s="19">
        <f>Fig4_data!B22</f>
        <v>-1</v>
      </c>
      <c r="C23" s="19">
        <f>Fig4_data!C22</f>
        <v>8</v>
      </c>
      <c r="F23" s="19"/>
      <c r="G23" s="19"/>
      <c r="H23" s="19"/>
      <c r="I23" s="19"/>
    </row>
    <row r="24" spans="1:9" ht="12.75" hidden="1" outlineLevel="1" x14ac:dyDescent="0.2">
      <c r="A24" s="21">
        <f>Fig4_data!A23</f>
        <v>34790</v>
      </c>
      <c r="B24" s="19">
        <f>Fig4_data!B23</f>
        <v>1</v>
      </c>
      <c r="C24" s="19">
        <f>Fig4_data!C23</f>
        <v>6</v>
      </c>
      <c r="F24" s="19"/>
      <c r="G24" s="19"/>
      <c r="H24" s="19"/>
      <c r="I24" s="19"/>
    </row>
    <row r="25" spans="1:9" ht="12.75" hidden="1" outlineLevel="1" x14ac:dyDescent="0.2">
      <c r="A25" s="21">
        <f>Fig4_data!A24</f>
        <v>34881</v>
      </c>
      <c r="B25" s="19">
        <f>Fig4_data!B24</f>
        <v>0</v>
      </c>
      <c r="C25" s="19">
        <f>Fig4_data!C24</f>
        <v>1</v>
      </c>
      <c r="F25" s="19"/>
      <c r="G25" s="19"/>
      <c r="H25" s="19"/>
      <c r="I25" s="19"/>
    </row>
    <row r="26" spans="1:9" ht="12.75" hidden="1" outlineLevel="1" x14ac:dyDescent="0.2">
      <c r="A26" s="21">
        <f>Fig4_data!A25</f>
        <v>34973</v>
      </c>
      <c r="B26" s="19">
        <f>Fig4_data!B25</f>
        <v>1</v>
      </c>
      <c r="C26" s="19">
        <f>Fig4_data!C25</f>
        <v>6</v>
      </c>
      <c r="F26" s="19"/>
      <c r="G26" s="19"/>
      <c r="H26" s="19"/>
      <c r="I26" s="19"/>
    </row>
    <row r="27" spans="1:9" ht="12.75" hidden="1" outlineLevel="1" x14ac:dyDescent="0.2">
      <c r="A27" s="21">
        <f>Fig4_data!A26</f>
        <v>35065</v>
      </c>
      <c r="B27" s="19">
        <f>Fig4_data!B26</f>
        <v>0</v>
      </c>
      <c r="C27" s="19">
        <f>Fig4_data!C26</f>
        <v>15</v>
      </c>
      <c r="F27" s="19"/>
      <c r="G27" s="19"/>
      <c r="H27" s="19"/>
      <c r="I27" s="19"/>
    </row>
    <row r="28" spans="1:9" ht="12.75" hidden="1" outlineLevel="1" x14ac:dyDescent="0.2">
      <c r="A28" s="21">
        <f>Fig4_data!A27</f>
        <v>35156</v>
      </c>
      <c r="B28" s="19">
        <f>Fig4_data!B27</f>
        <v>1</v>
      </c>
      <c r="C28" s="19">
        <f>Fig4_data!C27</f>
        <v>18</v>
      </c>
      <c r="F28" s="19"/>
      <c r="G28" s="19"/>
      <c r="H28" s="19"/>
      <c r="I28" s="19"/>
    </row>
    <row r="29" spans="1:9" ht="12.75" hidden="1" outlineLevel="1" x14ac:dyDescent="0.2">
      <c r="A29" s="21">
        <f>Fig4_data!A28</f>
        <v>35247</v>
      </c>
      <c r="B29" s="19">
        <f>Fig4_data!B28</f>
        <v>4</v>
      </c>
      <c r="C29" s="19">
        <f>Fig4_data!C28</f>
        <v>19</v>
      </c>
      <c r="F29" s="19"/>
      <c r="G29" s="19"/>
      <c r="H29" s="19"/>
      <c r="I29" s="19"/>
    </row>
    <row r="30" spans="1:9" ht="12.75" hidden="1" outlineLevel="1" x14ac:dyDescent="0.2">
      <c r="A30" s="21">
        <f>Fig4_data!A29</f>
        <v>35339</v>
      </c>
      <c r="B30" s="19">
        <f>Fig4_data!B29</f>
        <v>3</v>
      </c>
      <c r="C30" s="19">
        <f>Fig4_data!C29</f>
        <v>12</v>
      </c>
      <c r="F30" s="19"/>
      <c r="G30" s="19"/>
      <c r="H30" s="19"/>
      <c r="I30" s="19"/>
    </row>
    <row r="31" spans="1:9" ht="12.75" hidden="1" outlineLevel="1" x14ac:dyDescent="0.2">
      <c r="A31" s="21">
        <f>Fig4_data!A30</f>
        <v>35431</v>
      </c>
      <c r="B31" s="19">
        <f>Fig4_data!B30</f>
        <v>2</v>
      </c>
      <c r="C31" s="19">
        <f>Fig4_data!C30</f>
        <v>6</v>
      </c>
      <c r="F31" s="19"/>
      <c r="G31" s="19"/>
      <c r="H31" s="19"/>
      <c r="I31" s="19"/>
    </row>
    <row r="32" spans="1:9" ht="12.75" hidden="1" outlineLevel="1" x14ac:dyDescent="0.2">
      <c r="A32" s="21">
        <f>Fig4_data!A31</f>
        <v>35521</v>
      </c>
      <c r="B32" s="19">
        <f>Fig4_data!B31</f>
        <v>0</v>
      </c>
      <c r="C32" s="19">
        <f>Fig4_data!C31</f>
        <v>5</v>
      </c>
      <c r="F32" s="19"/>
      <c r="G32" s="19"/>
      <c r="H32" s="19"/>
      <c r="I32" s="19"/>
    </row>
    <row r="33" spans="1:9" ht="12.75" hidden="1" outlineLevel="1" x14ac:dyDescent="0.2">
      <c r="A33" s="21">
        <f>Fig4_data!A32</f>
        <v>35612</v>
      </c>
      <c r="B33" s="19">
        <f>Fig4_data!B32</f>
        <v>0</v>
      </c>
      <c r="C33" s="19">
        <f>Fig4_data!C32</f>
        <v>5</v>
      </c>
      <c r="F33" s="19"/>
      <c r="G33" s="19"/>
      <c r="H33" s="19"/>
      <c r="I33" s="19"/>
    </row>
    <row r="34" spans="1:9" ht="12.75" hidden="1" outlineLevel="1" x14ac:dyDescent="0.2">
      <c r="A34" s="21">
        <f>Fig4_data!A33</f>
        <v>35704</v>
      </c>
      <c r="B34" s="19">
        <f>Fig4_data!B33</f>
        <v>6</v>
      </c>
      <c r="C34" s="19">
        <f>Fig4_data!C33</f>
        <v>8</v>
      </c>
      <c r="F34" s="19"/>
      <c r="G34" s="19"/>
      <c r="H34" s="19"/>
      <c r="I34" s="19"/>
    </row>
    <row r="35" spans="1:9" ht="12.75" hidden="1" outlineLevel="1" x14ac:dyDescent="0.2">
      <c r="A35" s="21">
        <f>Fig4_data!A34</f>
        <v>35796</v>
      </c>
      <c r="B35" s="19">
        <f>Fig4_data!B34</f>
        <v>8</v>
      </c>
      <c r="C35" s="19">
        <f>Fig4_data!C34</f>
        <v>4</v>
      </c>
      <c r="F35" s="19"/>
      <c r="G35" s="19"/>
      <c r="H35" s="19"/>
      <c r="I35" s="19"/>
    </row>
    <row r="36" spans="1:9" ht="12.75" hidden="1" outlineLevel="1" x14ac:dyDescent="0.2">
      <c r="A36" s="21">
        <f>Fig4_data!A35</f>
        <v>35886</v>
      </c>
      <c r="B36" s="19">
        <f>Fig4_data!B35</f>
        <v>8</v>
      </c>
      <c r="C36" s="19">
        <f>Fig4_data!C35</f>
        <v>2</v>
      </c>
      <c r="F36" s="19"/>
      <c r="G36" s="19"/>
      <c r="H36" s="19"/>
      <c r="I36" s="19"/>
    </row>
    <row r="37" spans="1:9" ht="12.75" hidden="1" outlineLevel="1" x14ac:dyDescent="0.2">
      <c r="A37" s="21">
        <f>Fig4_data!A36</f>
        <v>35977</v>
      </c>
      <c r="B37" s="19">
        <f>Fig4_data!B36</f>
        <v>6</v>
      </c>
      <c r="C37" s="19">
        <f>Fig4_data!C36</f>
        <v>-1</v>
      </c>
      <c r="F37" s="19"/>
      <c r="G37" s="19"/>
      <c r="H37" s="19"/>
      <c r="I37" s="19"/>
    </row>
    <row r="38" spans="1:9" ht="12.75" hidden="1" outlineLevel="1" x14ac:dyDescent="0.2">
      <c r="A38" s="21">
        <f>Fig4_data!A37</f>
        <v>36069</v>
      </c>
      <c r="B38" s="19">
        <f>Fig4_data!B37</f>
        <v>3</v>
      </c>
      <c r="C38" s="19">
        <f>Fig4_data!C37</f>
        <v>-3</v>
      </c>
      <c r="F38" s="19"/>
      <c r="G38" s="19"/>
      <c r="H38" s="19"/>
      <c r="I38" s="19"/>
    </row>
    <row r="39" spans="1:9" ht="12.75" hidden="1" outlineLevel="1" x14ac:dyDescent="0.2">
      <c r="A39" s="21">
        <f>Fig4_data!A38</f>
        <v>36161</v>
      </c>
      <c r="B39" s="19">
        <f>Fig4_data!B38</f>
        <v>3</v>
      </c>
      <c r="C39" s="19">
        <f>Fig4_data!C38</f>
        <v>-3</v>
      </c>
      <c r="F39" s="19"/>
      <c r="G39" s="19"/>
      <c r="H39" s="19"/>
      <c r="I39" s="19"/>
    </row>
    <row r="40" spans="1:9" ht="12.75" hidden="1" outlineLevel="1" x14ac:dyDescent="0.2">
      <c r="A40" s="21">
        <f>Fig4_data!A39</f>
        <v>36251</v>
      </c>
      <c r="B40" s="19">
        <f>Fig4_data!B39</f>
        <v>5</v>
      </c>
      <c r="C40" s="19">
        <f>Fig4_data!C39</f>
        <v>-4</v>
      </c>
      <c r="F40" s="19"/>
      <c r="G40" s="19"/>
      <c r="H40" s="19"/>
      <c r="I40" s="19"/>
    </row>
    <row r="41" spans="1:9" ht="12.75" hidden="1" outlineLevel="1" x14ac:dyDescent="0.2">
      <c r="A41" s="21">
        <f>Fig4_data!A40</f>
        <v>36342</v>
      </c>
      <c r="B41" s="19">
        <f>Fig4_data!B40</f>
        <v>6</v>
      </c>
      <c r="C41" s="19">
        <f>Fig4_data!C40</f>
        <v>-5</v>
      </c>
      <c r="F41" s="19"/>
      <c r="G41" s="19"/>
      <c r="H41" s="19"/>
      <c r="I41" s="19"/>
    </row>
    <row r="42" spans="1:9" ht="12.75" collapsed="1" x14ac:dyDescent="0.2">
      <c r="A42" s="21">
        <f>Fig4_data!A41</f>
        <v>36434</v>
      </c>
      <c r="B42" s="19">
        <f>Fig4_data!B41</f>
        <v>3</v>
      </c>
      <c r="C42" s="19">
        <f>Fig4_data!C41</f>
        <v>-2</v>
      </c>
      <c r="F42" s="19"/>
      <c r="G42" s="19"/>
      <c r="H42" s="19"/>
      <c r="I42" s="19"/>
    </row>
    <row r="43" spans="1:9" ht="12.75" x14ac:dyDescent="0.2">
      <c r="A43" s="21">
        <f>Fig4_data!A42</f>
        <v>36526</v>
      </c>
      <c r="B43" s="19">
        <f>Fig4_data!B42</f>
        <v>-8</v>
      </c>
      <c r="C43" s="19">
        <f>Fig4_data!C42</f>
        <v>7</v>
      </c>
      <c r="F43" s="19"/>
      <c r="G43" s="19"/>
      <c r="H43" s="19"/>
      <c r="I43" s="19"/>
    </row>
    <row r="44" spans="1:9" ht="12.75" x14ac:dyDescent="0.2">
      <c r="A44" s="21">
        <f>Fig4_data!A43</f>
        <v>36617</v>
      </c>
      <c r="B44" s="19">
        <f>Fig4_data!B43</f>
        <v>-10</v>
      </c>
      <c r="C44" s="19">
        <f>Fig4_data!C43</f>
        <v>5</v>
      </c>
      <c r="F44" s="19"/>
      <c r="G44" s="19"/>
      <c r="H44" s="19"/>
      <c r="I44" s="19"/>
    </row>
    <row r="45" spans="1:9" ht="12.75" x14ac:dyDescent="0.2">
      <c r="A45" s="21">
        <f>Fig4_data!A44</f>
        <v>36708</v>
      </c>
      <c r="B45" s="19">
        <f>Fig4_data!B44</f>
        <v>-11</v>
      </c>
      <c r="C45" s="19">
        <f>Fig4_data!C44</f>
        <v>12</v>
      </c>
      <c r="F45" s="19"/>
      <c r="G45" s="19"/>
      <c r="H45" s="19"/>
      <c r="I45" s="19"/>
    </row>
    <row r="46" spans="1:9" ht="12.75" x14ac:dyDescent="0.2">
      <c r="A46" s="21">
        <f>Fig4_data!A45</f>
        <v>36800</v>
      </c>
      <c r="B46" s="19">
        <f>Fig4_data!B45</f>
        <v>-10</v>
      </c>
      <c r="C46" s="19">
        <f>Fig4_data!C45</f>
        <v>10</v>
      </c>
      <c r="F46" s="19"/>
      <c r="G46" s="19"/>
      <c r="H46" s="19"/>
      <c r="I46" s="19"/>
    </row>
    <row r="47" spans="1:9" ht="12.75" x14ac:dyDescent="0.2">
      <c r="A47" s="21">
        <f>Fig4_data!A46</f>
        <v>36892</v>
      </c>
      <c r="B47" s="19">
        <f>Fig4_data!B46</f>
        <v>-1</v>
      </c>
      <c r="C47" s="19">
        <f>Fig4_data!C46</f>
        <v>4</v>
      </c>
      <c r="F47" s="19"/>
      <c r="G47" s="19"/>
      <c r="H47" s="19"/>
      <c r="I47" s="19"/>
    </row>
    <row r="48" spans="1:9" ht="12.75" x14ac:dyDescent="0.2">
      <c r="A48" s="21">
        <f>Fig4_data!A47</f>
        <v>36982</v>
      </c>
      <c r="B48" s="19">
        <f>Fig4_data!B47</f>
        <v>-1</v>
      </c>
      <c r="C48" s="19">
        <f>Fig4_data!C47</f>
        <v>11</v>
      </c>
      <c r="F48" s="19"/>
      <c r="G48" s="19"/>
      <c r="H48" s="19"/>
      <c r="I48" s="19"/>
    </row>
    <row r="49" spans="1:9" ht="12.75" x14ac:dyDescent="0.2">
      <c r="A49" s="21">
        <f>Fig4_data!A48</f>
        <v>37073</v>
      </c>
      <c r="B49" s="19">
        <f>Fig4_data!B48</f>
        <v>-3</v>
      </c>
      <c r="C49" s="19">
        <f>Fig4_data!C48</f>
        <v>12</v>
      </c>
      <c r="F49" s="19"/>
      <c r="G49" s="19"/>
      <c r="H49" s="19"/>
      <c r="I49" s="19"/>
    </row>
    <row r="50" spans="1:9" ht="12.75" x14ac:dyDescent="0.2">
      <c r="A50" s="21">
        <f>Fig4_data!A49</f>
        <v>37165</v>
      </c>
      <c r="B50" s="19">
        <f>Fig4_data!B49</f>
        <v>-7</v>
      </c>
      <c r="C50" s="19">
        <f>Fig4_data!C49</f>
        <v>8</v>
      </c>
      <c r="F50" s="19"/>
      <c r="G50" s="19"/>
      <c r="H50" s="19"/>
      <c r="I50" s="19"/>
    </row>
    <row r="51" spans="1:9" ht="12.75" x14ac:dyDescent="0.2">
      <c r="A51" s="21">
        <f>Fig4_data!A50</f>
        <v>37257</v>
      </c>
      <c r="B51" s="19">
        <f>Fig4_data!B50</f>
        <v>-9</v>
      </c>
      <c r="C51" s="19">
        <f>Fig4_data!C50</f>
        <v>8</v>
      </c>
      <c r="F51" s="19"/>
      <c r="G51" s="19"/>
      <c r="H51" s="19"/>
      <c r="I51" s="19"/>
    </row>
    <row r="52" spans="1:9" ht="12.75" x14ac:dyDescent="0.2">
      <c r="A52" s="21">
        <f>Fig4_data!A51</f>
        <v>37347</v>
      </c>
      <c r="B52" s="19">
        <f>Fig4_data!B51</f>
        <v>-8</v>
      </c>
      <c r="C52" s="19">
        <f>Fig4_data!C51</f>
        <v>4</v>
      </c>
      <c r="F52" s="19"/>
      <c r="G52" s="19"/>
      <c r="H52" s="19"/>
      <c r="I52" s="19"/>
    </row>
    <row r="53" spans="1:9" ht="12.75" x14ac:dyDescent="0.2">
      <c r="A53" s="21">
        <f>Fig4_data!A52</f>
        <v>37438</v>
      </c>
      <c r="B53" s="19">
        <f>Fig4_data!B52</f>
        <v>-5</v>
      </c>
      <c r="C53" s="19">
        <f>Fig4_data!C52</f>
        <v>1</v>
      </c>
      <c r="F53" s="19"/>
      <c r="G53" s="19"/>
      <c r="H53" s="19"/>
      <c r="I53" s="19"/>
    </row>
    <row r="54" spans="1:9" ht="12.75" x14ac:dyDescent="0.2">
      <c r="A54" s="21">
        <f>Fig4_data!A53</f>
        <v>37530</v>
      </c>
      <c r="B54" s="19">
        <f>Fig4_data!B53</f>
        <v>2</v>
      </c>
      <c r="C54" s="19">
        <f>Fig4_data!C53</f>
        <v>3</v>
      </c>
      <c r="F54" s="19"/>
      <c r="G54" s="19"/>
      <c r="H54" s="19"/>
      <c r="I54" s="19"/>
    </row>
    <row r="55" spans="1:9" ht="12.75" x14ac:dyDescent="0.2">
      <c r="A55" s="21">
        <f>Fig4_data!A54</f>
        <v>37622</v>
      </c>
      <c r="B55" s="19">
        <f>Fig4_data!B54</f>
        <v>3</v>
      </c>
      <c r="C55" s="19">
        <f>Fig4_data!C54</f>
        <v>5</v>
      </c>
      <c r="F55" s="19"/>
      <c r="G55" s="19"/>
      <c r="H55" s="19"/>
      <c r="I55" s="19"/>
    </row>
    <row r="56" spans="1:9" ht="12.75" x14ac:dyDescent="0.2">
      <c r="A56" s="21">
        <f>Fig4_data!A55</f>
        <v>37712</v>
      </c>
      <c r="B56" s="19">
        <f>Fig4_data!B55</f>
        <v>6</v>
      </c>
      <c r="C56" s="19">
        <f>Fig4_data!C55</f>
        <v>6</v>
      </c>
      <c r="F56" s="19"/>
      <c r="G56" s="19"/>
      <c r="H56" s="19"/>
      <c r="I56" s="19"/>
    </row>
    <row r="57" spans="1:9" ht="12.75" x14ac:dyDescent="0.2">
      <c r="A57" s="21">
        <f>Fig4_data!A56</f>
        <v>37803</v>
      </c>
      <c r="B57" s="19">
        <f>Fig4_data!B56</f>
        <v>4</v>
      </c>
      <c r="C57" s="19">
        <f>Fig4_data!C56</f>
        <v>7</v>
      </c>
      <c r="F57" s="19"/>
      <c r="G57" s="19"/>
      <c r="H57" s="19"/>
      <c r="I57" s="19"/>
    </row>
    <row r="58" spans="1:9" ht="12.75" x14ac:dyDescent="0.2">
      <c r="A58" s="21">
        <f>Fig4_data!A57</f>
        <v>37895</v>
      </c>
      <c r="B58" s="19">
        <f>Fig4_data!B57</f>
        <v>3</v>
      </c>
      <c r="C58" s="19">
        <f>Fig4_data!C57</f>
        <v>13</v>
      </c>
      <c r="F58" s="19"/>
      <c r="G58" s="19"/>
      <c r="H58" s="19"/>
      <c r="I58" s="19"/>
    </row>
    <row r="59" spans="1:9" ht="12.75" x14ac:dyDescent="0.2">
      <c r="A59" s="21">
        <f>Fig4_data!A58</f>
        <v>37987</v>
      </c>
      <c r="B59" s="19">
        <f>Fig4_data!B58</f>
        <v>4</v>
      </c>
      <c r="C59" s="19">
        <f>Fig4_data!C58</f>
        <v>23</v>
      </c>
      <c r="F59" s="19"/>
      <c r="G59" s="19"/>
      <c r="H59" s="19"/>
      <c r="I59" s="19"/>
    </row>
    <row r="60" spans="1:9" ht="12.75" x14ac:dyDescent="0.2">
      <c r="A60" s="21">
        <f>Fig4_data!A59</f>
        <v>38078</v>
      </c>
      <c r="B60" s="19">
        <f>Fig4_data!B59</f>
        <v>1</v>
      </c>
      <c r="C60" s="19">
        <f>Fig4_data!C59</f>
        <v>22</v>
      </c>
      <c r="F60" s="19"/>
      <c r="G60" s="19"/>
      <c r="H60" s="19"/>
      <c r="I60" s="19"/>
    </row>
    <row r="61" spans="1:9" ht="12.75" x14ac:dyDescent="0.2">
      <c r="A61" s="21">
        <f>Fig4_data!A60</f>
        <v>38169</v>
      </c>
      <c r="B61" s="19">
        <f>Fig4_data!B60</f>
        <v>3</v>
      </c>
      <c r="C61" s="19">
        <f>Fig4_data!C60</f>
        <v>33</v>
      </c>
      <c r="F61" s="19"/>
      <c r="G61" s="19"/>
      <c r="H61" s="19"/>
      <c r="I61" s="19"/>
    </row>
    <row r="62" spans="1:9" ht="12.75" x14ac:dyDescent="0.2">
      <c r="A62" s="21">
        <f>Fig4_data!A61</f>
        <v>38261</v>
      </c>
      <c r="B62" s="19">
        <f>Fig4_data!B61</f>
        <v>1</v>
      </c>
      <c r="C62" s="19">
        <f>Fig4_data!C61</f>
        <v>44</v>
      </c>
      <c r="F62" s="19"/>
      <c r="G62" s="19"/>
      <c r="H62" s="19"/>
      <c r="I62" s="19"/>
    </row>
    <row r="63" spans="1:9" ht="12.75" x14ac:dyDescent="0.2">
      <c r="A63" s="21">
        <f>Fig4_data!A62</f>
        <v>38353</v>
      </c>
      <c r="B63" s="19">
        <f>Fig4_data!B62</f>
        <v>-1</v>
      </c>
      <c r="C63" s="19">
        <f>Fig4_data!C62</f>
        <v>36</v>
      </c>
      <c r="F63" s="19"/>
      <c r="G63" s="19"/>
      <c r="H63" s="19"/>
      <c r="I63" s="19"/>
    </row>
    <row r="64" spans="1:9" ht="12.75" x14ac:dyDescent="0.2">
      <c r="A64" s="21">
        <f>Fig4_data!A63</f>
        <v>38443</v>
      </c>
      <c r="B64" s="19">
        <f>Fig4_data!B63</f>
        <v>-1</v>
      </c>
      <c r="C64" s="19">
        <f>Fig4_data!C63</f>
        <v>48</v>
      </c>
      <c r="F64" s="19"/>
      <c r="G64" s="19"/>
      <c r="H64" s="19"/>
      <c r="I64" s="19"/>
    </row>
    <row r="65" spans="1:30" ht="12.75" x14ac:dyDescent="0.2">
      <c r="A65" s="21">
        <f>Fig4_data!A64</f>
        <v>38534</v>
      </c>
      <c r="B65" s="19">
        <f>Fig4_data!B64</f>
        <v>-1</v>
      </c>
      <c r="C65" s="19">
        <f>Fig4_data!C64</f>
        <v>40</v>
      </c>
      <c r="F65" s="19"/>
      <c r="G65" s="19"/>
      <c r="H65" s="19"/>
      <c r="I65" s="19"/>
    </row>
    <row r="66" spans="1:30" ht="12.75" x14ac:dyDescent="0.2">
      <c r="A66" s="21">
        <f>Fig4_data!A65</f>
        <v>38626</v>
      </c>
      <c r="B66" s="19">
        <f>Fig4_data!B65</f>
        <v>1</v>
      </c>
      <c r="C66" s="19">
        <f>Fig4_data!C65</f>
        <v>35</v>
      </c>
      <c r="F66" s="19"/>
      <c r="G66" s="19"/>
      <c r="H66" s="19"/>
      <c r="I66" s="19"/>
    </row>
    <row r="67" spans="1:30" ht="12.75" x14ac:dyDescent="0.2">
      <c r="A67" s="21">
        <f>Fig4_data!A66</f>
        <v>38718</v>
      </c>
      <c r="B67" s="19">
        <f>Fig4_data!B66</f>
        <v>4</v>
      </c>
      <c r="C67" s="19">
        <f>Fig4_data!C66</f>
        <v>42</v>
      </c>
      <c r="F67" s="19"/>
      <c r="G67" s="19"/>
      <c r="H67" s="19"/>
      <c r="I67" s="19"/>
    </row>
    <row r="68" spans="1:30" ht="12.75" x14ac:dyDescent="0.2">
      <c r="A68" s="21">
        <f>Fig4_data!A67</f>
        <v>38808</v>
      </c>
      <c r="B68" s="19">
        <f>Fig4_data!B67</f>
        <v>8</v>
      </c>
      <c r="C68" s="19">
        <f>Fig4_data!C67</f>
        <v>40</v>
      </c>
      <c r="F68" s="19"/>
      <c r="G68" s="19"/>
      <c r="H68" s="19"/>
      <c r="I68" s="19"/>
    </row>
    <row r="69" spans="1:30" ht="12.75" x14ac:dyDescent="0.2">
      <c r="A69" s="21">
        <f>Fig4_data!A68</f>
        <v>38899</v>
      </c>
      <c r="B69" s="19">
        <f>Fig4_data!B68</f>
        <v>7</v>
      </c>
      <c r="C69" s="19">
        <f>Fig4_data!C68</f>
        <v>44</v>
      </c>
      <c r="F69" s="19"/>
      <c r="G69" s="19"/>
      <c r="H69" s="19"/>
      <c r="I69" s="19"/>
    </row>
    <row r="70" spans="1:30" ht="12.75" x14ac:dyDescent="0.2">
      <c r="A70" s="21">
        <f>Fig4_data!A69</f>
        <v>38991</v>
      </c>
      <c r="B70" s="19">
        <f>Fig4_data!B69</f>
        <v>9</v>
      </c>
      <c r="C70" s="19">
        <f>Fig4_data!C69</f>
        <v>41</v>
      </c>
      <c r="F70" s="19"/>
      <c r="G70" s="19"/>
      <c r="H70" s="19"/>
      <c r="I70" s="19"/>
    </row>
    <row r="71" spans="1:30" ht="12.75" x14ac:dyDescent="0.2">
      <c r="A71" s="21">
        <f>Fig4_data!A70</f>
        <v>39083</v>
      </c>
      <c r="B71" s="19">
        <f>Fig4_data!B70</f>
        <v>13</v>
      </c>
      <c r="C71" s="19">
        <f>Fig4_data!C70</f>
        <v>40</v>
      </c>
      <c r="F71" s="19"/>
      <c r="G71" s="19"/>
      <c r="H71" s="19"/>
      <c r="I71" s="19"/>
    </row>
    <row r="72" spans="1:30" ht="12.75" x14ac:dyDescent="0.2">
      <c r="A72" s="21">
        <f>Fig4_data!A71</f>
        <v>39173</v>
      </c>
      <c r="B72" s="19">
        <f>Fig4_data!B71</f>
        <v>11</v>
      </c>
      <c r="C72" s="19">
        <f>Fig4_data!C71</f>
        <v>37</v>
      </c>
      <c r="F72" s="19"/>
      <c r="G72" s="19"/>
      <c r="H72" s="19"/>
      <c r="I72" s="19"/>
    </row>
    <row r="73" spans="1:30" ht="12.75" x14ac:dyDescent="0.2">
      <c r="A73" s="21">
        <f>Fig4_data!A72</f>
        <v>39264</v>
      </c>
      <c r="B73" s="19">
        <f>Fig4_data!B72</f>
        <v>16</v>
      </c>
      <c r="C73" s="19">
        <f>Fig4_data!C72</f>
        <v>41</v>
      </c>
      <c r="F73" s="19"/>
      <c r="G73" s="19"/>
      <c r="H73" s="19"/>
      <c r="I73" s="19"/>
    </row>
    <row r="74" spans="1:30" ht="12.75" x14ac:dyDescent="0.2">
      <c r="A74" s="21">
        <f>Fig4_data!A73</f>
        <v>39356</v>
      </c>
      <c r="B74" s="19">
        <f>Fig4_data!B73</f>
        <v>12</v>
      </c>
      <c r="C74" s="19">
        <f>Fig4_data!C73</f>
        <v>42</v>
      </c>
      <c r="F74" s="19"/>
      <c r="G74" s="19"/>
      <c r="H74" s="19"/>
      <c r="I74" s="19"/>
    </row>
    <row r="75" spans="1:30" ht="12.75" x14ac:dyDescent="0.2">
      <c r="A75" s="21">
        <f>Fig4_data!A74</f>
        <v>39448</v>
      </c>
      <c r="B75" s="19">
        <f>Fig4_data!B74</f>
        <v>5</v>
      </c>
      <c r="C75" s="19">
        <f>Fig4_data!C74</f>
        <v>54</v>
      </c>
      <c r="F75" s="19"/>
      <c r="G75" s="19"/>
      <c r="H75" s="19"/>
      <c r="I75" s="19"/>
    </row>
    <row r="76" spans="1:30" ht="12.75" x14ac:dyDescent="0.2">
      <c r="A76" s="21">
        <f>Fig4_data!A75</f>
        <v>39539</v>
      </c>
      <c r="B76" s="19">
        <f>Fig4_data!B75</f>
        <v>2</v>
      </c>
      <c r="C76" s="19">
        <f>Fig4_data!C75</f>
        <v>65</v>
      </c>
      <c r="F76" s="19"/>
      <c r="G76" s="19"/>
      <c r="H76" s="19"/>
      <c r="I76" s="19"/>
    </row>
    <row r="77" spans="1:30" ht="12.75" x14ac:dyDescent="0.2">
      <c r="A77" s="21">
        <f>Fig4_data!A76</f>
        <v>39630</v>
      </c>
      <c r="B77" s="19">
        <f>Fig4_data!B76</f>
        <v>-5</v>
      </c>
      <c r="C77" s="19">
        <f>Fig4_data!C76</f>
        <v>66</v>
      </c>
      <c r="F77" s="19"/>
      <c r="G77" s="19"/>
      <c r="H77" s="19"/>
      <c r="I77" s="19"/>
    </row>
    <row r="78" spans="1:30" ht="12.75" x14ac:dyDescent="0.2">
      <c r="A78" s="21">
        <f>Fig4_data!A77</f>
        <v>39722</v>
      </c>
      <c r="B78" s="19">
        <f>Fig4_data!B77</f>
        <v>-12</v>
      </c>
      <c r="C78" s="19">
        <f>Fig4_data!C77</f>
        <v>42</v>
      </c>
      <c r="F78" s="19"/>
      <c r="G78" s="19"/>
      <c r="H78" s="19"/>
      <c r="I78" s="19"/>
    </row>
    <row r="79" spans="1:30" ht="12.75" x14ac:dyDescent="0.2">
      <c r="A79" s="21">
        <f>Fig4_data!A78</f>
        <v>39814</v>
      </c>
      <c r="B79" s="19">
        <f>Fig4_data!B78</f>
        <v>-8</v>
      </c>
      <c r="C79" s="19">
        <f>Fig4_data!C78</f>
        <v>13</v>
      </c>
      <c r="F79" s="19"/>
      <c r="G79" s="19"/>
      <c r="H79" s="19"/>
      <c r="I79" s="19"/>
    </row>
    <row r="80" spans="1:30" ht="12.75" x14ac:dyDescent="0.2">
      <c r="A80" s="21">
        <f>Fig4_data!A79</f>
        <v>39904</v>
      </c>
      <c r="B80" s="19">
        <f>Fig4_data!B79</f>
        <v>-7</v>
      </c>
      <c r="C80" s="19">
        <f>Fig4_data!C79</f>
        <v>-9</v>
      </c>
      <c r="F80" s="19"/>
      <c r="G80" s="19"/>
      <c r="H80" s="19"/>
      <c r="I80" s="19"/>
      <c r="AD80" s="19" t="s">
        <v>44</v>
      </c>
    </row>
    <row r="81" spans="1:9" ht="12.75" x14ac:dyDescent="0.2">
      <c r="A81" s="21">
        <f>Fig4_data!A80</f>
        <v>39995</v>
      </c>
      <c r="B81" s="19">
        <f>Fig4_data!B80</f>
        <v>-4</v>
      </c>
      <c r="C81" s="19">
        <f>Fig4_data!C80</f>
        <v>-26</v>
      </c>
      <c r="F81" s="19"/>
      <c r="G81" s="19"/>
      <c r="H81" s="19"/>
      <c r="I81" s="19"/>
    </row>
    <row r="82" spans="1:9" ht="12.75" x14ac:dyDescent="0.2">
      <c r="A82" s="21">
        <f>Fig4_data!A81</f>
        <v>40087</v>
      </c>
      <c r="B82" s="19">
        <f>Fig4_data!B81</f>
        <v>4</v>
      </c>
      <c r="C82" s="19">
        <f>Fig4_data!C81</f>
        <v>-6</v>
      </c>
      <c r="F82" s="19"/>
      <c r="G82" s="19"/>
      <c r="H82" s="19"/>
      <c r="I82" s="19"/>
    </row>
    <row r="83" spans="1:9" ht="12.75" x14ac:dyDescent="0.2">
      <c r="A83" s="21">
        <f>Fig4_data!A82</f>
        <v>40179</v>
      </c>
      <c r="B83" s="19">
        <f>Fig4_data!B82</f>
        <v>11</v>
      </c>
      <c r="C83" s="19">
        <f>Fig4_data!C82</f>
        <v>17</v>
      </c>
      <c r="F83" s="19"/>
      <c r="G83" s="19"/>
      <c r="H83" s="19"/>
      <c r="I83" s="19"/>
    </row>
    <row r="84" spans="1:9" ht="12.75" x14ac:dyDescent="0.2">
      <c r="A84" s="21">
        <f>Fig4_data!A83</f>
        <v>40269</v>
      </c>
      <c r="B84" s="19">
        <f>Fig4_data!B83</f>
        <v>18</v>
      </c>
      <c r="C84" s="19">
        <f>Fig4_data!C83</f>
        <v>37</v>
      </c>
      <c r="F84" s="19"/>
      <c r="G84" s="19"/>
      <c r="H84" s="19"/>
      <c r="I84" s="19"/>
    </row>
    <row r="85" spans="1:9" ht="12.75" x14ac:dyDescent="0.2">
      <c r="A85" s="21">
        <f>Fig4_data!A84</f>
        <v>40360</v>
      </c>
      <c r="B85" s="19">
        <f>Fig4_data!B84</f>
        <v>18</v>
      </c>
      <c r="C85" s="19">
        <f>Fig4_data!C84</f>
        <v>60</v>
      </c>
      <c r="F85" s="19"/>
      <c r="G85" s="19"/>
      <c r="H85" s="19"/>
      <c r="I85" s="19"/>
    </row>
    <row r="86" spans="1:9" ht="12.75" x14ac:dyDescent="0.2">
      <c r="A86" s="21">
        <f>Fig4_data!A85</f>
        <v>40452</v>
      </c>
      <c r="B86" s="19">
        <f>Fig4_data!B85</f>
        <v>23</v>
      </c>
      <c r="C86" s="19">
        <f>Fig4_data!C85</f>
        <v>76</v>
      </c>
      <c r="F86" s="19"/>
      <c r="G86" s="19"/>
      <c r="H86" s="19"/>
      <c r="I86" s="19"/>
    </row>
    <row r="87" spans="1:9" ht="12.75" x14ac:dyDescent="0.2">
      <c r="A87" s="21">
        <f>Fig4_data!A86</f>
        <v>40544</v>
      </c>
      <c r="B87" s="19">
        <f>Fig4_data!B86</f>
        <v>25</v>
      </c>
      <c r="C87" s="19">
        <f>Fig4_data!C86</f>
        <v>96</v>
      </c>
      <c r="F87" s="19"/>
      <c r="G87" s="19"/>
      <c r="H87" s="19"/>
      <c r="I87" s="19"/>
    </row>
    <row r="88" spans="1:9" ht="12.75" x14ac:dyDescent="0.2">
      <c r="A88" s="21">
        <f>Fig4_data!A87</f>
        <v>40634</v>
      </c>
      <c r="B88" s="19">
        <f>Fig4_data!B87</f>
        <v>22</v>
      </c>
      <c r="C88" s="19">
        <f>Fig4_data!C87</f>
        <v>96</v>
      </c>
      <c r="F88" s="19"/>
      <c r="G88" s="19"/>
      <c r="H88" s="19"/>
      <c r="I88" s="19"/>
    </row>
    <row r="89" spans="1:9" ht="12.75" x14ac:dyDescent="0.2">
      <c r="A89" s="21">
        <f>Fig4_data!A88</f>
        <v>40725</v>
      </c>
      <c r="B89" s="19">
        <f>Fig4_data!B88</f>
        <v>27</v>
      </c>
      <c r="C89" s="19">
        <f>Fig4_data!C88</f>
        <v>86</v>
      </c>
      <c r="F89" s="19"/>
      <c r="G89" s="19"/>
      <c r="H89" s="19"/>
      <c r="I89" s="19"/>
    </row>
    <row r="90" spans="1:9" ht="12.75" x14ac:dyDescent="0.2">
      <c r="A90" s="21">
        <f>Fig4_data!A89</f>
        <v>40817</v>
      </c>
      <c r="B90" s="19">
        <f>Fig4_data!B89</f>
        <v>28</v>
      </c>
      <c r="C90" s="19">
        <f>Fig4_data!C89</f>
        <v>84</v>
      </c>
      <c r="F90" s="19"/>
      <c r="G90" s="19"/>
      <c r="H90" s="19"/>
      <c r="I90" s="19"/>
    </row>
    <row r="91" spans="1:9" ht="12.75" x14ac:dyDescent="0.2">
      <c r="A91" s="21">
        <f>Fig4_data!A90</f>
        <v>40909</v>
      </c>
      <c r="B91" s="19">
        <f>Fig4_data!B90</f>
        <v>8</v>
      </c>
      <c r="C91" s="19">
        <f>Fig4_data!C90</f>
        <v>55</v>
      </c>
      <c r="F91" s="19"/>
      <c r="G91" s="19"/>
      <c r="H91" s="19"/>
      <c r="I91" s="19"/>
    </row>
    <row r="92" spans="1:9" ht="12.75" x14ac:dyDescent="0.2">
      <c r="A92" s="21">
        <f>Fig4_data!A91</f>
        <v>41000</v>
      </c>
      <c r="B92" s="19">
        <f>Fig4_data!B91</f>
        <v>4</v>
      </c>
      <c r="C92" s="19">
        <f>Fig4_data!C91</f>
        <v>49</v>
      </c>
      <c r="F92" s="19"/>
      <c r="G92" s="19"/>
      <c r="H92" s="19"/>
      <c r="I92" s="19"/>
    </row>
    <row r="93" spans="1:9" ht="12.75" x14ac:dyDescent="0.2">
      <c r="A93" s="21">
        <f>Fig4_data!A92</f>
        <v>41091</v>
      </c>
      <c r="B93" s="19">
        <f>Fig4_data!B92</f>
        <v>5</v>
      </c>
      <c r="C93" s="19">
        <f>Fig4_data!C92</f>
        <v>47</v>
      </c>
      <c r="F93" s="19"/>
      <c r="G93" s="19"/>
      <c r="H93" s="19"/>
      <c r="I93" s="19"/>
    </row>
    <row r="94" spans="1:9" ht="12.75" x14ac:dyDescent="0.2">
      <c r="A94" s="21">
        <f>Fig4_data!A93</f>
        <v>41183</v>
      </c>
      <c r="B94" s="19">
        <f>Fig4_data!B93</f>
        <v>5</v>
      </c>
      <c r="C94" s="19">
        <f>Fig4_data!C93</f>
        <v>35</v>
      </c>
      <c r="F94" s="19"/>
      <c r="G94" s="19"/>
      <c r="H94" s="19"/>
      <c r="I94" s="19"/>
    </row>
    <row r="95" spans="1:9" ht="12.75" x14ac:dyDescent="0.2">
      <c r="A95" s="21">
        <f>Fig4_data!A94</f>
        <v>41275</v>
      </c>
      <c r="B95" s="19">
        <f>Fig4_data!B94</f>
        <v>45</v>
      </c>
      <c r="C95" s="19">
        <f>Fig4_data!C94</f>
        <v>50</v>
      </c>
      <c r="F95" s="19"/>
      <c r="G95" s="19"/>
      <c r="H95" s="19"/>
      <c r="I95" s="19"/>
    </row>
    <row r="96" spans="1:9" ht="12.75" x14ac:dyDescent="0.2">
      <c r="A96" s="21">
        <f>Fig4_data!A95</f>
        <v>41365</v>
      </c>
      <c r="B96" s="19">
        <f>Fig4_data!B95</f>
        <v>48</v>
      </c>
      <c r="C96" s="19">
        <f>Fig4_data!C95</f>
        <v>46</v>
      </c>
      <c r="F96" s="19"/>
      <c r="G96" s="19"/>
      <c r="H96" s="19"/>
      <c r="I96" s="19"/>
    </row>
    <row r="97" spans="1:9" ht="12.75" x14ac:dyDescent="0.2">
      <c r="A97" s="21">
        <f>Fig4_data!A96</f>
        <v>41456</v>
      </c>
      <c r="B97" s="19">
        <f>Fig4_data!B96</f>
        <v>52</v>
      </c>
      <c r="C97" s="19">
        <f>Fig4_data!C96</f>
        <v>49</v>
      </c>
      <c r="F97" s="19"/>
      <c r="G97" s="19"/>
      <c r="H97" s="19"/>
      <c r="I97" s="19"/>
    </row>
    <row r="98" spans="1:9" ht="12.75" x14ac:dyDescent="0.2">
      <c r="A98" s="21">
        <f>Fig4_data!A97</f>
        <v>41548</v>
      </c>
      <c r="B98" s="19">
        <f>Fig4_data!B97</f>
        <v>51</v>
      </c>
      <c r="C98" s="19">
        <f>Fig4_data!C97</f>
        <v>60</v>
      </c>
      <c r="F98" s="19"/>
      <c r="G98" s="19"/>
      <c r="H98" s="19"/>
      <c r="I98" s="19"/>
    </row>
    <row r="99" spans="1:9" ht="12.75" x14ac:dyDescent="0.2">
      <c r="A99" s="21">
        <f>Fig4_data!A98</f>
        <v>41640</v>
      </c>
      <c r="B99" s="19">
        <f>Fig4_data!B98</f>
        <v>39</v>
      </c>
      <c r="C99" s="19">
        <f>Fig4_data!C98</f>
        <v>59</v>
      </c>
      <c r="F99" s="19"/>
      <c r="G99" s="19"/>
      <c r="H99" s="19"/>
      <c r="I99" s="19"/>
    </row>
    <row r="100" spans="1:9" ht="12.75" x14ac:dyDescent="0.2">
      <c r="A100" s="21">
        <f>Fig4_data!A99</f>
        <v>41730</v>
      </c>
      <c r="B100" s="19">
        <f>Fig4_data!B99</f>
        <v>44</v>
      </c>
      <c r="C100" s="19">
        <f>Fig4_data!C99</f>
        <v>63</v>
      </c>
      <c r="F100" s="19"/>
      <c r="G100" s="19"/>
      <c r="H100" s="19"/>
      <c r="I100" s="19"/>
    </row>
    <row r="101" spans="1:9" ht="12.75" x14ac:dyDescent="0.2">
      <c r="A101" s="21">
        <f>Fig4_data!A100</f>
        <v>41821</v>
      </c>
      <c r="B101" s="19">
        <f>Fig4_data!B100</f>
        <v>40</v>
      </c>
      <c r="C101" s="19">
        <f>Fig4_data!C100</f>
        <v>65</v>
      </c>
      <c r="F101" s="19"/>
      <c r="G101" s="19"/>
      <c r="H101" s="19"/>
      <c r="I101" s="19"/>
    </row>
    <row r="102" spans="1:9" ht="12.75" x14ac:dyDescent="0.2">
      <c r="A102" s="21">
        <f>Fig4_data!A101</f>
        <v>41913</v>
      </c>
      <c r="B102" s="19">
        <f>Fig4_data!B101</f>
        <v>42</v>
      </c>
      <c r="C102" s="19">
        <f>Fig4_data!C101</f>
        <v>62</v>
      </c>
      <c r="F102" s="19"/>
      <c r="G102" s="19"/>
      <c r="H102" s="19"/>
      <c r="I102" s="19"/>
    </row>
    <row r="103" spans="1:9" ht="12.75" x14ac:dyDescent="0.2">
      <c r="A103" s="21">
        <f>Fig4_data!A102</f>
        <v>42005</v>
      </c>
      <c r="B103" s="19">
        <f>Fig4_data!B102</f>
        <v>62</v>
      </c>
      <c r="C103" s="19">
        <f>Fig4_data!C102</f>
        <v>70</v>
      </c>
      <c r="F103" s="19"/>
      <c r="G103" s="19"/>
      <c r="H103" s="19"/>
      <c r="I103" s="19"/>
    </row>
    <row r="104" spans="1:9" ht="12.75" x14ac:dyDescent="0.2">
      <c r="A104" s="21">
        <f>Fig4_data!A103</f>
        <v>42095</v>
      </c>
      <c r="B104" s="19">
        <f>Fig4_data!B103</f>
        <v>58</v>
      </c>
      <c r="C104" s="19">
        <f>Fig4_data!C103</f>
        <v>74</v>
      </c>
      <c r="F104" s="19"/>
      <c r="G104" s="19"/>
      <c r="H104" s="19"/>
      <c r="I104" s="19"/>
    </row>
    <row r="105" spans="1:9" ht="12.75" x14ac:dyDescent="0.2">
      <c r="A105" s="21">
        <f>Fig4_data!A104</f>
        <v>42186</v>
      </c>
      <c r="B105" s="19">
        <f>Fig4_data!B104</f>
        <v>55</v>
      </c>
      <c r="C105" s="19">
        <f>Fig4_data!C104</f>
        <v>66</v>
      </c>
      <c r="F105" s="19"/>
      <c r="G105" s="19"/>
      <c r="H105" s="19"/>
      <c r="I105" s="19"/>
    </row>
    <row r="106" spans="1:9" ht="12.75" x14ac:dyDescent="0.2">
      <c r="A106" s="21">
        <f>Fig4_data!A105</f>
        <v>42278</v>
      </c>
      <c r="B106" s="19">
        <f>Fig4_data!B105</f>
        <v>72</v>
      </c>
      <c r="C106" s="19">
        <f>Fig4_data!C105</f>
        <v>73</v>
      </c>
      <c r="F106" s="19"/>
      <c r="G106" s="19"/>
      <c r="H106" s="19"/>
      <c r="I106" s="19"/>
    </row>
    <row r="107" spans="1:9" ht="12.75" x14ac:dyDescent="0.2">
      <c r="A107" s="21">
        <f>Fig4_data!A106</f>
        <v>42370</v>
      </c>
      <c r="B107" s="19">
        <f>Fig4_data!B106</f>
        <v>100</v>
      </c>
      <c r="C107" s="19">
        <f>Fig4_data!C106</f>
        <v>99</v>
      </c>
      <c r="F107" s="19"/>
      <c r="G107" s="19"/>
      <c r="H107" s="19"/>
      <c r="I107" s="19"/>
    </row>
    <row r="108" spans="1:9" ht="12.75" x14ac:dyDescent="0.2">
      <c r="A108" s="21">
        <f>Fig4_data!A107</f>
        <v>42461</v>
      </c>
      <c r="B108" s="19">
        <f>Fig4_data!B107</f>
        <v>106</v>
      </c>
      <c r="C108" s="19">
        <f>Fig4_data!C107</f>
        <v>97</v>
      </c>
      <c r="F108" s="19"/>
      <c r="G108" s="19"/>
      <c r="H108" s="19"/>
      <c r="I108" s="19"/>
    </row>
    <row r="109" spans="1:9" ht="12.75" x14ac:dyDescent="0.2">
      <c r="A109" s="21">
        <f>Fig4_data!A108</f>
        <v>42552</v>
      </c>
      <c r="B109" s="19">
        <f>Fig4_data!B108</f>
        <v>110</v>
      </c>
      <c r="C109" s="19">
        <f>Fig4_data!C108</f>
        <v>114</v>
      </c>
      <c r="F109" s="19"/>
      <c r="G109" s="19"/>
      <c r="H109" s="19"/>
      <c r="I109" s="19"/>
    </row>
    <row r="110" spans="1:9" ht="12.75" x14ac:dyDescent="0.2">
      <c r="A110" s="21">
        <f>Fig4_data!A109</f>
        <v>42644</v>
      </c>
      <c r="B110" s="19">
        <f>Fig4_data!B109</f>
        <v>97</v>
      </c>
      <c r="C110" s="19">
        <f>Fig4_data!C109</f>
        <v>105</v>
      </c>
      <c r="F110" s="19"/>
      <c r="G110" s="19"/>
      <c r="H110" s="19"/>
      <c r="I110" s="19"/>
    </row>
    <row r="111" spans="1:9" x14ac:dyDescent="0.25">
      <c r="A111" s="21">
        <f>Fig4_data!A110</f>
        <v>42736</v>
      </c>
      <c r="B111" s="19">
        <f>Fig4_data!B110</f>
        <v>106</v>
      </c>
      <c r="C111" s="19">
        <f>Fig4_data!C110</f>
        <v>97</v>
      </c>
    </row>
    <row r="112" spans="1:9" x14ac:dyDescent="0.25">
      <c r="A112" s="21">
        <f>Fig4_data!A111</f>
        <v>42826</v>
      </c>
      <c r="B112" s="19">
        <f>Fig4_data!B111</f>
        <v>104</v>
      </c>
      <c r="C112" s="19">
        <f>Fig4_data!C111</f>
        <v>98</v>
      </c>
    </row>
    <row r="113" spans="1:3" x14ac:dyDescent="0.25">
      <c r="A113" s="21">
        <f>Fig4_data!A112</f>
        <v>42917</v>
      </c>
      <c r="B113" s="19">
        <f>Fig4_data!B112</f>
        <v>105</v>
      </c>
      <c r="C113" s="19">
        <f>Fig4_data!C112</f>
        <v>91</v>
      </c>
    </row>
    <row r="114" spans="1:3" x14ac:dyDescent="0.25">
      <c r="A114" s="21">
        <f>Fig4_data!A113</f>
        <v>43009</v>
      </c>
      <c r="B114" s="19">
        <f>Fig4_data!B113</f>
        <v>98</v>
      </c>
      <c r="C114" s="19">
        <f>Fig4_data!C113</f>
        <v>85</v>
      </c>
    </row>
    <row r="115" spans="1:3" x14ac:dyDescent="0.25">
      <c r="A115" s="21">
        <f>Fig4_data!A114</f>
        <v>43101</v>
      </c>
      <c r="B115" s="19">
        <f>Fig4_data!B114</f>
        <v>130</v>
      </c>
      <c r="C115" s="19">
        <f>Fig4_data!C114</f>
        <v>158</v>
      </c>
    </row>
    <row r="116" spans="1:3" x14ac:dyDescent="0.25">
      <c r="A116" s="21">
        <f>Fig4_data!A115</f>
        <v>43191</v>
      </c>
      <c r="B116" s="19">
        <f>Fig4_data!B115</f>
        <v>125</v>
      </c>
      <c r="C116" s="19">
        <f>Fig4_data!C115</f>
        <v>155</v>
      </c>
    </row>
    <row r="117" spans="1:3" x14ac:dyDescent="0.25">
      <c r="A117" s="21">
        <f>Fig4_data!A116</f>
        <v>43282</v>
      </c>
      <c r="B117" s="19">
        <f>Fig4_data!B116</f>
        <v>130</v>
      </c>
      <c r="C117" s="19">
        <f>Fig4_data!C116</f>
        <v>164</v>
      </c>
    </row>
    <row r="118" spans="1:3" x14ac:dyDescent="0.25">
      <c r="A118" s="21">
        <f>Fig4_data!A117</f>
        <v>43374</v>
      </c>
      <c r="B118" s="19">
        <f>Fig4_data!B117</f>
        <v>132</v>
      </c>
      <c r="C118" s="19">
        <f>Fig4_data!C117</f>
        <v>188</v>
      </c>
    </row>
    <row r="119" spans="1:3" x14ac:dyDescent="0.25">
      <c r="A119" s="21">
        <f>Fig4_data!A118</f>
        <v>43466</v>
      </c>
      <c r="B119" s="19">
        <f>Fig4_data!B118</f>
        <v>78</v>
      </c>
      <c r="C119" s="19">
        <f>Fig4_data!C118</f>
        <v>136</v>
      </c>
    </row>
    <row r="120" spans="1:3" x14ac:dyDescent="0.25">
      <c r="A120" s="21">
        <f>Fig4_data!A119</f>
        <v>43556</v>
      </c>
      <c r="B120" s="19">
        <f>Fig4_data!B119</f>
        <v>81</v>
      </c>
      <c r="C120" s="19">
        <f>Fig4_data!C119</f>
        <v>141</v>
      </c>
    </row>
    <row r="121" spans="1:3" x14ac:dyDescent="0.25">
      <c r="A121" s="21">
        <f>Fig4_data!A120</f>
        <v>43647</v>
      </c>
      <c r="B121" s="19">
        <f>Fig4_data!B120</f>
        <v>76</v>
      </c>
      <c r="C121" s="19">
        <f>Fig4_data!C120</f>
        <v>122</v>
      </c>
    </row>
    <row r="122" spans="1:3" x14ac:dyDescent="0.25">
      <c r="A122" s="21">
        <f>Fig4_data!A121</f>
        <v>43739</v>
      </c>
      <c r="B122" s="19">
        <f>Fig4_data!B121</f>
        <v>78</v>
      </c>
      <c r="C122" s="19">
        <f>Fig4_data!C121</f>
        <v>101</v>
      </c>
    </row>
    <row r="123" spans="1:3" x14ac:dyDescent="0.25">
      <c r="A123" s="21">
        <f>Fig4_data!A122</f>
        <v>43831</v>
      </c>
      <c r="B123" s="19">
        <f>Fig4_data!B122</f>
        <v>-34</v>
      </c>
      <c r="C123" s="19">
        <f>Fig4_data!C122</f>
        <v>-8</v>
      </c>
    </row>
    <row r="124" spans="1:3" x14ac:dyDescent="0.25">
      <c r="A124" s="21">
        <f>Fig4_data!A123</f>
        <v>43922</v>
      </c>
      <c r="B124" s="19">
        <f>Fig4_data!B123</f>
        <v>-114</v>
      </c>
      <c r="C124" s="19">
        <f>Fig4_data!C123</f>
        <v>-116</v>
      </c>
    </row>
    <row r="125" spans="1:3" x14ac:dyDescent="0.25">
      <c r="A125" s="21">
        <f>Fig4_data!A124</f>
        <v>44013</v>
      </c>
      <c r="B125" s="19">
        <f>Fig4_data!B124</f>
        <v>-108</v>
      </c>
      <c r="C125" s="19">
        <f>Fig4_data!C124</f>
        <v>-138</v>
      </c>
    </row>
    <row r="126" spans="1:3" x14ac:dyDescent="0.25">
      <c r="A126" s="21">
        <f>Fig4_data!A125</f>
        <v>44105</v>
      </c>
      <c r="B126" s="19">
        <f>Fig4_data!B125</f>
        <v>-106</v>
      </c>
      <c r="C126" s="19">
        <f>Fig4_data!C125</f>
        <v>-146</v>
      </c>
    </row>
    <row r="127" spans="1:3" x14ac:dyDescent="0.25">
      <c r="A127" s="21">
        <f>Fig4_data!A126</f>
        <v>44197</v>
      </c>
      <c r="B127" s="19">
        <f>Fig4_data!B126</f>
        <v>-37</v>
      </c>
      <c r="C127" s="19">
        <f>Fig4_data!C126</f>
        <v>-87</v>
      </c>
    </row>
    <row r="128" spans="1:3" x14ac:dyDescent="0.25">
      <c r="A128" s="21">
        <f>Fig4_data!A127</f>
        <v>44287</v>
      </c>
      <c r="B128" s="19">
        <f>Fig4_data!B127</f>
        <v>76</v>
      </c>
      <c r="C128" s="19">
        <f>Fig4_data!C127</f>
        <v>11</v>
      </c>
    </row>
    <row r="129" spans="1:3" x14ac:dyDescent="0.25">
      <c r="A129" s="21">
        <f>Fig4_data!A128</f>
        <v>44378</v>
      </c>
      <c r="B129" s="19">
        <f>Fig4_data!B128</f>
        <v>65</v>
      </c>
      <c r="C129" s="19">
        <f>Fig4_data!C128</f>
        <v>38</v>
      </c>
    </row>
    <row r="130" spans="1:3" x14ac:dyDescent="0.25">
      <c r="A130" s="21">
        <f>Fig4_data!A129</f>
        <v>44470</v>
      </c>
      <c r="B130" s="19">
        <f>Fig4_data!B129</f>
        <v>38</v>
      </c>
      <c r="C130" s="19">
        <f>Fig4_data!C129</f>
        <v>46</v>
      </c>
    </row>
  </sheetData>
  <mergeCells count="1">
    <mergeCell ref="A1:A2"/>
  </mergeCells>
  <hyperlinks>
    <hyperlink ref="A1" location="'Table of Contents'!A1" display="Back to TOC" xr:uid="{00000000-0004-0000-0400-000000000000}"/>
  </hyperlink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>
    <tabColor rgb="FFFFC000"/>
  </sheetPr>
  <dimension ref="A1:U33"/>
  <sheetViews>
    <sheetView zoomScale="80" zoomScaleNormal="80" workbookViewId="0">
      <pane xSplit="1" ySplit="1" topLeftCell="B8" activePane="bottomRight" state="frozen"/>
      <selection activeCell="E32" sqref="E32"/>
      <selection pane="topRight" activeCell="E32" sqref="E32"/>
      <selection pane="bottomLeft" activeCell="E32" sqref="E32"/>
      <selection pane="bottomRight" activeCell="E31" sqref="E31"/>
    </sheetView>
  </sheetViews>
  <sheetFormatPr defaultRowHeight="15" x14ac:dyDescent="0.25"/>
  <sheetData>
    <row r="1" spans="1:21" x14ac:dyDescent="0.25">
      <c r="A1" t="s">
        <v>98</v>
      </c>
      <c r="B1" t="s">
        <v>99</v>
      </c>
      <c r="C1" t="s">
        <v>100</v>
      </c>
      <c r="D1" t="s">
        <v>101</v>
      </c>
      <c r="E1" t="s">
        <v>102</v>
      </c>
      <c r="F1" t="s">
        <v>103</v>
      </c>
      <c r="G1" t="s">
        <v>104</v>
      </c>
      <c r="H1" t="s">
        <v>105</v>
      </c>
      <c r="I1" t="s">
        <v>106</v>
      </c>
      <c r="J1" t="s">
        <v>107</v>
      </c>
      <c r="K1" t="s">
        <v>108</v>
      </c>
      <c r="L1" t="s">
        <v>109</v>
      </c>
      <c r="M1" t="s">
        <v>110</v>
      </c>
      <c r="N1" t="s">
        <v>111</v>
      </c>
      <c r="O1" t="s">
        <v>112</v>
      </c>
      <c r="P1" t="s">
        <v>113</v>
      </c>
      <c r="Q1" t="s">
        <v>114</v>
      </c>
      <c r="R1" t="s">
        <v>115</v>
      </c>
      <c r="S1" t="s">
        <v>116</v>
      </c>
      <c r="T1" t="s">
        <v>117</v>
      </c>
      <c r="U1" t="s">
        <v>118</v>
      </c>
    </row>
    <row r="2" spans="1:21" x14ac:dyDescent="0.25">
      <c r="A2" s="1">
        <v>1990</v>
      </c>
      <c r="B2" s="1">
        <v>36</v>
      </c>
      <c r="C2" s="1">
        <v>1</v>
      </c>
      <c r="D2" s="1">
        <v>7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1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6</v>
      </c>
      <c r="T2" s="1">
        <v>0</v>
      </c>
      <c r="U2" s="1">
        <v>0</v>
      </c>
    </row>
    <row r="3" spans="1:21" x14ac:dyDescent="0.25">
      <c r="A3" s="1">
        <v>1991</v>
      </c>
      <c r="B3" s="1">
        <v>36</v>
      </c>
      <c r="C3" s="1">
        <v>7</v>
      </c>
      <c r="D3" s="1">
        <v>12</v>
      </c>
      <c r="E3" s="1">
        <v>0</v>
      </c>
      <c r="F3" s="1">
        <v>0</v>
      </c>
      <c r="G3" s="1">
        <v>0</v>
      </c>
      <c r="H3" s="1">
        <v>0</v>
      </c>
      <c r="I3" s="1">
        <v>2</v>
      </c>
      <c r="J3" s="1">
        <v>1</v>
      </c>
      <c r="K3" s="1">
        <v>0</v>
      </c>
      <c r="L3" s="1">
        <v>0</v>
      </c>
      <c r="M3" s="1">
        <v>2</v>
      </c>
      <c r="N3" s="1">
        <v>0</v>
      </c>
      <c r="O3" s="1">
        <v>0</v>
      </c>
      <c r="P3" s="1">
        <v>3</v>
      </c>
      <c r="Q3" s="1">
        <v>0</v>
      </c>
      <c r="R3" s="1">
        <v>0</v>
      </c>
      <c r="S3" s="1">
        <v>7</v>
      </c>
      <c r="T3" s="1">
        <v>0</v>
      </c>
      <c r="U3" s="1">
        <v>0</v>
      </c>
    </row>
    <row r="4" spans="1:21" x14ac:dyDescent="0.25">
      <c r="A4" s="1">
        <v>1992</v>
      </c>
      <c r="B4" s="1">
        <v>36</v>
      </c>
      <c r="C4" s="1">
        <v>7</v>
      </c>
      <c r="D4" s="1">
        <v>13</v>
      </c>
      <c r="E4" s="1">
        <v>0</v>
      </c>
      <c r="F4" s="1">
        <v>0</v>
      </c>
      <c r="G4" s="1">
        <v>0</v>
      </c>
      <c r="H4" s="1">
        <v>0</v>
      </c>
      <c r="I4" s="1">
        <v>2</v>
      </c>
      <c r="J4" s="1">
        <v>1</v>
      </c>
      <c r="K4" s="1">
        <v>0</v>
      </c>
      <c r="L4" s="1">
        <v>0</v>
      </c>
      <c r="M4" s="1">
        <v>2</v>
      </c>
      <c r="N4" s="1">
        <v>0</v>
      </c>
      <c r="O4" s="1">
        <v>0</v>
      </c>
      <c r="P4" s="1">
        <v>3</v>
      </c>
      <c r="Q4" s="1">
        <v>0</v>
      </c>
      <c r="R4" s="1">
        <v>0</v>
      </c>
      <c r="S4" s="1">
        <v>8</v>
      </c>
      <c r="T4" s="1">
        <v>0</v>
      </c>
      <c r="U4" s="1">
        <v>0</v>
      </c>
    </row>
    <row r="5" spans="1:21" x14ac:dyDescent="0.25">
      <c r="A5" s="1">
        <v>1993</v>
      </c>
      <c r="B5" s="1">
        <v>36</v>
      </c>
      <c r="C5" s="1">
        <v>7</v>
      </c>
      <c r="D5" s="1">
        <v>15</v>
      </c>
      <c r="E5" s="1">
        <v>0</v>
      </c>
      <c r="F5" s="1">
        <v>0</v>
      </c>
      <c r="G5" s="1">
        <v>0</v>
      </c>
      <c r="H5" s="1">
        <v>0</v>
      </c>
      <c r="I5" s="1">
        <v>2</v>
      </c>
      <c r="J5" s="1">
        <v>1</v>
      </c>
      <c r="K5" s="1">
        <v>0</v>
      </c>
      <c r="L5" s="1">
        <v>0</v>
      </c>
      <c r="M5" s="1">
        <v>2</v>
      </c>
      <c r="N5" s="1">
        <v>0</v>
      </c>
      <c r="O5" s="1">
        <v>0</v>
      </c>
      <c r="P5" s="1">
        <v>3</v>
      </c>
      <c r="Q5" s="1">
        <v>0</v>
      </c>
      <c r="R5" s="1">
        <v>0</v>
      </c>
      <c r="S5" s="1">
        <v>10</v>
      </c>
      <c r="T5" s="1">
        <v>0</v>
      </c>
      <c r="U5" s="1">
        <v>0</v>
      </c>
    </row>
    <row r="6" spans="1:21" x14ac:dyDescent="0.25">
      <c r="A6" s="1">
        <v>1994</v>
      </c>
      <c r="B6" s="1">
        <v>36</v>
      </c>
      <c r="C6" s="1">
        <v>7</v>
      </c>
      <c r="D6" s="1">
        <v>15</v>
      </c>
      <c r="E6" s="1">
        <v>0</v>
      </c>
      <c r="F6" s="1">
        <v>0</v>
      </c>
      <c r="G6" s="1">
        <v>0</v>
      </c>
      <c r="H6" s="1">
        <v>0</v>
      </c>
      <c r="I6" s="1">
        <v>2</v>
      </c>
      <c r="J6" s="1">
        <v>1</v>
      </c>
      <c r="K6" s="1">
        <v>0</v>
      </c>
      <c r="L6" s="1">
        <v>0</v>
      </c>
      <c r="M6" s="1">
        <v>3</v>
      </c>
      <c r="N6" s="1">
        <v>0</v>
      </c>
      <c r="O6" s="1">
        <v>0</v>
      </c>
      <c r="P6" s="1">
        <v>3</v>
      </c>
      <c r="Q6" s="1">
        <v>0</v>
      </c>
      <c r="R6" s="1">
        <v>0</v>
      </c>
      <c r="S6" s="1">
        <v>11</v>
      </c>
      <c r="T6" s="1">
        <v>0</v>
      </c>
      <c r="U6" s="1">
        <v>0</v>
      </c>
    </row>
    <row r="7" spans="1:21" x14ac:dyDescent="0.25">
      <c r="A7" s="1">
        <v>1995</v>
      </c>
      <c r="B7" s="1">
        <v>36</v>
      </c>
      <c r="C7" s="1">
        <v>9</v>
      </c>
      <c r="D7" s="1">
        <v>17</v>
      </c>
      <c r="E7" s="1">
        <v>0</v>
      </c>
      <c r="F7" s="1">
        <v>0</v>
      </c>
      <c r="G7" s="1">
        <v>0</v>
      </c>
      <c r="H7" s="1">
        <v>0</v>
      </c>
      <c r="I7" s="1">
        <v>2</v>
      </c>
      <c r="J7" s="1">
        <v>2</v>
      </c>
      <c r="K7" s="1">
        <v>0</v>
      </c>
      <c r="L7" s="1">
        <v>0</v>
      </c>
      <c r="M7" s="1">
        <v>4</v>
      </c>
      <c r="N7" s="1">
        <v>0</v>
      </c>
      <c r="O7" s="1">
        <v>0</v>
      </c>
      <c r="P7" s="1">
        <v>3</v>
      </c>
      <c r="Q7" s="1">
        <v>0</v>
      </c>
      <c r="R7" s="1">
        <v>0</v>
      </c>
      <c r="S7" s="1">
        <v>12</v>
      </c>
      <c r="T7" s="1">
        <v>0</v>
      </c>
      <c r="U7" s="1">
        <v>0</v>
      </c>
    </row>
    <row r="8" spans="1:21" x14ac:dyDescent="0.25">
      <c r="A8" s="1">
        <v>1996</v>
      </c>
      <c r="B8" s="1">
        <v>36</v>
      </c>
      <c r="C8" s="1">
        <v>10</v>
      </c>
      <c r="D8" s="1">
        <v>18</v>
      </c>
      <c r="E8" s="1">
        <v>0</v>
      </c>
      <c r="F8" s="1">
        <v>0</v>
      </c>
      <c r="G8" s="1">
        <v>0</v>
      </c>
      <c r="H8" s="1">
        <v>0</v>
      </c>
      <c r="I8" s="1">
        <v>2</v>
      </c>
      <c r="J8" s="1">
        <v>3</v>
      </c>
      <c r="K8" s="1">
        <v>0</v>
      </c>
      <c r="L8" s="1">
        <v>0</v>
      </c>
      <c r="M8" s="1">
        <v>4</v>
      </c>
      <c r="N8" s="1">
        <v>0</v>
      </c>
      <c r="O8" s="1">
        <v>0</v>
      </c>
      <c r="P8" s="1">
        <v>4</v>
      </c>
      <c r="Q8" s="1">
        <v>0</v>
      </c>
      <c r="R8" s="1">
        <v>0</v>
      </c>
      <c r="S8" s="1">
        <v>12</v>
      </c>
      <c r="T8" s="1">
        <v>0</v>
      </c>
      <c r="U8" s="1">
        <v>0</v>
      </c>
    </row>
    <row r="9" spans="1:21" x14ac:dyDescent="0.25">
      <c r="A9" s="1">
        <v>1997</v>
      </c>
      <c r="B9" s="1">
        <v>36</v>
      </c>
      <c r="C9" s="1">
        <v>13</v>
      </c>
      <c r="D9" s="1">
        <v>21</v>
      </c>
      <c r="E9" s="1">
        <v>0</v>
      </c>
      <c r="F9" s="1">
        <v>0</v>
      </c>
      <c r="G9" s="1">
        <v>0</v>
      </c>
      <c r="H9" s="1">
        <v>0</v>
      </c>
      <c r="I9" s="1">
        <v>2</v>
      </c>
      <c r="J9" s="1">
        <v>5</v>
      </c>
      <c r="K9" s="1">
        <v>1</v>
      </c>
      <c r="L9" s="1">
        <v>0</v>
      </c>
      <c r="M9" s="1">
        <v>5</v>
      </c>
      <c r="N9" s="1">
        <v>0</v>
      </c>
      <c r="O9" s="1">
        <v>0</v>
      </c>
      <c r="P9" s="1">
        <v>5</v>
      </c>
      <c r="Q9" s="1">
        <v>0</v>
      </c>
      <c r="R9" s="1">
        <v>0</v>
      </c>
      <c r="S9" s="1">
        <v>13</v>
      </c>
      <c r="T9" s="1">
        <v>0</v>
      </c>
      <c r="U9" s="1">
        <v>0</v>
      </c>
    </row>
    <row r="10" spans="1:21" x14ac:dyDescent="0.25">
      <c r="A10" s="1">
        <v>1998</v>
      </c>
      <c r="B10" s="1">
        <v>36</v>
      </c>
      <c r="C10" s="1">
        <v>15</v>
      </c>
      <c r="D10" s="1">
        <v>23</v>
      </c>
      <c r="E10" s="1">
        <v>0</v>
      </c>
      <c r="F10" s="1">
        <v>0</v>
      </c>
      <c r="G10" s="1">
        <v>0</v>
      </c>
      <c r="H10" s="1">
        <v>0</v>
      </c>
      <c r="I10" s="1">
        <v>4</v>
      </c>
      <c r="J10" s="1">
        <v>6</v>
      </c>
      <c r="K10" s="1">
        <v>1</v>
      </c>
      <c r="L10" s="1">
        <v>0</v>
      </c>
      <c r="M10" s="1">
        <v>5</v>
      </c>
      <c r="N10" s="1">
        <v>0</v>
      </c>
      <c r="O10" s="1">
        <v>0</v>
      </c>
      <c r="P10" s="1">
        <v>5</v>
      </c>
      <c r="Q10" s="1">
        <v>0</v>
      </c>
      <c r="R10" s="1">
        <v>1</v>
      </c>
      <c r="S10" s="1">
        <v>13</v>
      </c>
      <c r="T10" s="1">
        <v>0</v>
      </c>
      <c r="U10" s="1">
        <v>0</v>
      </c>
    </row>
    <row r="11" spans="1:21" x14ac:dyDescent="0.25">
      <c r="A11" s="1">
        <v>1999</v>
      </c>
      <c r="B11" s="1">
        <v>36</v>
      </c>
      <c r="C11" s="1">
        <v>17</v>
      </c>
      <c r="D11" s="1">
        <v>30</v>
      </c>
      <c r="E11" s="1">
        <v>0</v>
      </c>
      <c r="F11" s="1">
        <v>0</v>
      </c>
      <c r="G11" s="1">
        <v>0</v>
      </c>
      <c r="H11" s="1">
        <v>0</v>
      </c>
      <c r="I11" s="1">
        <v>4</v>
      </c>
      <c r="J11" s="1">
        <v>6</v>
      </c>
      <c r="K11" s="1">
        <v>1</v>
      </c>
      <c r="L11" s="1">
        <v>1</v>
      </c>
      <c r="M11" s="1">
        <v>5</v>
      </c>
      <c r="N11" s="1">
        <v>0</v>
      </c>
      <c r="O11" s="1">
        <v>0</v>
      </c>
      <c r="P11" s="1">
        <v>6</v>
      </c>
      <c r="Q11" s="1">
        <v>0</v>
      </c>
      <c r="R11" s="1">
        <v>1</v>
      </c>
      <c r="S11" s="1">
        <v>20</v>
      </c>
      <c r="T11" s="1">
        <v>0</v>
      </c>
      <c r="U11" s="1">
        <v>0</v>
      </c>
    </row>
    <row r="12" spans="1:21" x14ac:dyDescent="0.25">
      <c r="A12" s="1">
        <v>2000</v>
      </c>
      <c r="B12" s="1">
        <v>36</v>
      </c>
      <c r="C12" s="1">
        <v>18</v>
      </c>
      <c r="D12" s="1">
        <v>30</v>
      </c>
      <c r="E12" s="1">
        <v>0</v>
      </c>
      <c r="F12" s="1">
        <v>0</v>
      </c>
      <c r="G12" s="1">
        <v>0</v>
      </c>
      <c r="H12" s="1">
        <v>1</v>
      </c>
      <c r="I12" s="1">
        <v>4</v>
      </c>
      <c r="J12" s="1">
        <v>6</v>
      </c>
      <c r="K12" s="1">
        <v>1</v>
      </c>
      <c r="L12" s="1">
        <v>1</v>
      </c>
      <c r="M12" s="1">
        <v>5</v>
      </c>
      <c r="N12" s="1">
        <v>0</v>
      </c>
      <c r="O12" s="1">
        <v>0</v>
      </c>
      <c r="P12" s="1">
        <v>6</v>
      </c>
      <c r="Q12" s="1">
        <v>0</v>
      </c>
      <c r="R12" s="1">
        <v>1</v>
      </c>
      <c r="S12" s="1">
        <v>22</v>
      </c>
      <c r="T12" s="1">
        <v>0</v>
      </c>
      <c r="U12" s="1">
        <v>2</v>
      </c>
    </row>
    <row r="13" spans="1:21" x14ac:dyDescent="0.25">
      <c r="A13" s="1">
        <v>2001</v>
      </c>
      <c r="B13" s="1">
        <v>36</v>
      </c>
      <c r="C13" s="1">
        <v>18</v>
      </c>
      <c r="D13" s="1">
        <v>30</v>
      </c>
      <c r="E13" s="1">
        <v>0</v>
      </c>
      <c r="F13" s="1">
        <v>0</v>
      </c>
      <c r="G13" s="1">
        <v>0</v>
      </c>
      <c r="H13" s="1">
        <v>1</v>
      </c>
      <c r="I13" s="1">
        <v>4</v>
      </c>
      <c r="J13" s="1">
        <v>8</v>
      </c>
      <c r="K13" s="1">
        <v>1</v>
      </c>
      <c r="L13" s="1">
        <v>1</v>
      </c>
      <c r="M13" s="1">
        <v>5</v>
      </c>
      <c r="N13" s="1">
        <v>0</v>
      </c>
      <c r="O13" s="1">
        <v>0</v>
      </c>
      <c r="P13" s="1">
        <v>6</v>
      </c>
      <c r="Q13" s="1">
        <v>0</v>
      </c>
      <c r="R13" s="1">
        <v>1</v>
      </c>
      <c r="S13" s="1">
        <v>22</v>
      </c>
      <c r="T13" s="1">
        <v>0</v>
      </c>
      <c r="U13" s="1">
        <v>2</v>
      </c>
    </row>
    <row r="14" spans="1:21" x14ac:dyDescent="0.25">
      <c r="A14" s="1">
        <v>2002</v>
      </c>
      <c r="B14" s="1">
        <v>36</v>
      </c>
      <c r="C14" s="1">
        <v>18</v>
      </c>
      <c r="D14" s="1">
        <v>31</v>
      </c>
      <c r="E14" s="1">
        <v>0</v>
      </c>
      <c r="F14" s="1">
        <v>0</v>
      </c>
      <c r="G14" s="1">
        <v>0</v>
      </c>
      <c r="H14" s="1">
        <v>2</v>
      </c>
      <c r="I14" s="1">
        <v>5</v>
      </c>
      <c r="J14" s="1">
        <v>9</v>
      </c>
      <c r="K14" s="1">
        <v>1</v>
      </c>
      <c r="L14" s="1">
        <v>1</v>
      </c>
      <c r="M14" s="1">
        <v>5</v>
      </c>
      <c r="N14" s="1">
        <v>0</v>
      </c>
      <c r="O14" s="1">
        <v>0</v>
      </c>
      <c r="P14" s="1">
        <v>6</v>
      </c>
      <c r="Q14" s="1">
        <v>0</v>
      </c>
      <c r="R14" s="1">
        <v>1</v>
      </c>
      <c r="S14" s="1">
        <v>23</v>
      </c>
      <c r="T14" s="1">
        <v>0</v>
      </c>
      <c r="U14" s="1">
        <v>2</v>
      </c>
    </row>
    <row r="15" spans="1:21" x14ac:dyDescent="0.25">
      <c r="A15" s="1">
        <v>2003</v>
      </c>
      <c r="B15" s="1">
        <v>36</v>
      </c>
      <c r="C15" s="1">
        <v>20</v>
      </c>
      <c r="D15" s="1">
        <v>32</v>
      </c>
      <c r="E15" s="1">
        <v>0</v>
      </c>
      <c r="F15" s="1">
        <v>0</v>
      </c>
      <c r="G15" s="1">
        <v>0</v>
      </c>
      <c r="H15" s="1">
        <v>2</v>
      </c>
      <c r="I15" s="1">
        <v>5</v>
      </c>
      <c r="J15" s="1">
        <v>10</v>
      </c>
      <c r="K15" s="1">
        <v>1</v>
      </c>
      <c r="L15" s="1">
        <v>1</v>
      </c>
      <c r="M15" s="1">
        <v>6</v>
      </c>
      <c r="N15" s="1">
        <v>1</v>
      </c>
      <c r="O15" s="1">
        <v>0</v>
      </c>
      <c r="P15" s="1">
        <v>6</v>
      </c>
      <c r="Q15" s="1">
        <v>0</v>
      </c>
      <c r="R15" s="1">
        <v>1</v>
      </c>
      <c r="S15" s="1">
        <v>24</v>
      </c>
      <c r="T15" s="1">
        <v>0</v>
      </c>
      <c r="U15" s="1">
        <v>2</v>
      </c>
    </row>
    <row r="16" spans="1:21" x14ac:dyDescent="0.25">
      <c r="A16" s="1">
        <v>2004</v>
      </c>
      <c r="B16" s="1">
        <v>36</v>
      </c>
      <c r="C16" s="1">
        <v>24</v>
      </c>
      <c r="D16" s="1">
        <v>33</v>
      </c>
      <c r="E16" s="1">
        <v>0</v>
      </c>
      <c r="F16" s="1">
        <v>0</v>
      </c>
      <c r="G16" s="1">
        <v>0</v>
      </c>
      <c r="H16" s="1">
        <v>2</v>
      </c>
      <c r="I16" s="1">
        <v>5</v>
      </c>
      <c r="J16" s="1">
        <v>12</v>
      </c>
      <c r="K16" s="1">
        <v>1</v>
      </c>
      <c r="L16" s="1">
        <v>1</v>
      </c>
      <c r="M16" s="1">
        <v>6</v>
      </c>
      <c r="N16" s="1">
        <v>1</v>
      </c>
      <c r="O16" s="1">
        <v>1</v>
      </c>
      <c r="P16" s="1">
        <v>7</v>
      </c>
      <c r="Q16" s="1">
        <v>0</v>
      </c>
      <c r="R16" s="1">
        <v>1</v>
      </c>
      <c r="S16" s="1">
        <v>24</v>
      </c>
      <c r="T16" s="1">
        <v>0</v>
      </c>
      <c r="U16" s="1">
        <v>2</v>
      </c>
    </row>
    <row r="17" spans="1:21" x14ac:dyDescent="0.25">
      <c r="A17" s="1">
        <v>2005</v>
      </c>
      <c r="B17" s="1">
        <v>36</v>
      </c>
      <c r="C17" s="1">
        <v>24</v>
      </c>
      <c r="D17" s="1">
        <v>33</v>
      </c>
      <c r="E17" s="1">
        <v>0</v>
      </c>
      <c r="F17" s="1">
        <v>0</v>
      </c>
      <c r="G17" s="1">
        <v>0</v>
      </c>
      <c r="H17" s="1">
        <v>3</v>
      </c>
      <c r="I17" s="1">
        <v>5</v>
      </c>
      <c r="J17" s="1">
        <v>12</v>
      </c>
      <c r="K17" s="1">
        <v>3</v>
      </c>
      <c r="L17" s="1">
        <v>1</v>
      </c>
      <c r="M17" s="1">
        <v>6</v>
      </c>
      <c r="N17" s="1">
        <v>1</v>
      </c>
      <c r="O17" s="1">
        <v>1</v>
      </c>
      <c r="P17" s="1">
        <v>7</v>
      </c>
      <c r="Q17" s="1">
        <v>0</v>
      </c>
      <c r="R17" s="1">
        <v>1</v>
      </c>
      <c r="S17" s="1">
        <v>24</v>
      </c>
      <c r="T17" s="1">
        <v>0</v>
      </c>
      <c r="U17" s="1">
        <v>2</v>
      </c>
    </row>
    <row r="18" spans="1:21" x14ac:dyDescent="0.25">
      <c r="A18" s="1">
        <v>2006</v>
      </c>
      <c r="B18" s="1">
        <v>36</v>
      </c>
      <c r="C18" s="1">
        <v>24</v>
      </c>
      <c r="D18" s="1">
        <v>33</v>
      </c>
      <c r="E18" s="1">
        <v>0</v>
      </c>
      <c r="F18" s="1">
        <v>0</v>
      </c>
      <c r="G18" s="1">
        <v>0</v>
      </c>
      <c r="H18" s="1">
        <v>3</v>
      </c>
      <c r="I18" s="1">
        <v>7</v>
      </c>
      <c r="J18" s="1">
        <v>12</v>
      </c>
      <c r="K18" s="1">
        <v>3</v>
      </c>
      <c r="L18" s="1">
        <v>1</v>
      </c>
      <c r="M18" s="1">
        <v>6</v>
      </c>
      <c r="N18" s="1">
        <v>1</v>
      </c>
      <c r="O18" s="1">
        <v>1</v>
      </c>
      <c r="P18" s="1">
        <v>7</v>
      </c>
      <c r="Q18" s="1">
        <v>0</v>
      </c>
      <c r="R18" s="1">
        <v>1</v>
      </c>
      <c r="S18" s="1">
        <v>24</v>
      </c>
      <c r="T18" s="1">
        <v>0</v>
      </c>
      <c r="U18" s="1">
        <v>2</v>
      </c>
    </row>
    <row r="19" spans="1:21" x14ac:dyDescent="0.25">
      <c r="A19" s="1">
        <v>2007</v>
      </c>
      <c r="B19" s="1">
        <v>36</v>
      </c>
      <c r="C19" s="1">
        <v>28</v>
      </c>
      <c r="D19" s="1">
        <v>34</v>
      </c>
      <c r="E19" s="1">
        <v>0</v>
      </c>
      <c r="F19" s="1">
        <v>0</v>
      </c>
      <c r="G19" s="1">
        <v>0</v>
      </c>
      <c r="H19" s="1">
        <v>3</v>
      </c>
      <c r="I19" s="1">
        <v>12</v>
      </c>
      <c r="J19" s="1">
        <v>13</v>
      </c>
      <c r="K19" s="1">
        <v>5</v>
      </c>
      <c r="L19" s="1">
        <v>1</v>
      </c>
      <c r="M19" s="1">
        <v>7</v>
      </c>
      <c r="N19" s="1">
        <v>3</v>
      </c>
      <c r="O19" s="1">
        <v>2</v>
      </c>
      <c r="P19" s="1">
        <v>7</v>
      </c>
      <c r="Q19" s="1">
        <v>0</v>
      </c>
      <c r="R19" s="1">
        <v>1</v>
      </c>
      <c r="S19" s="1">
        <v>24</v>
      </c>
      <c r="T19" s="1">
        <v>0</v>
      </c>
      <c r="U19" s="1">
        <v>2</v>
      </c>
    </row>
    <row r="20" spans="1:21" x14ac:dyDescent="0.25">
      <c r="A20" s="1">
        <v>2008</v>
      </c>
      <c r="B20" s="1">
        <v>36</v>
      </c>
      <c r="C20" s="1">
        <v>29</v>
      </c>
      <c r="D20" s="1">
        <v>35</v>
      </c>
      <c r="E20" s="1">
        <v>0</v>
      </c>
      <c r="F20" s="1">
        <v>0</v>
      </c>
      <c r="G20" s="1">
        <v>1</v>
      </c>
      <c r="H20" s="1">
        <v>3</v>
      </c>
      <c r="I20" s="1">
        <v>13</v>
      </c>
      <c r="J20" s="1">
        <v>13</v>
      </c>
      <c r="K20" s="1">
        <v>5</v>
      </c>
      <c r="L20" s="1">
        <v>1</v>
      </c>
      <c r="M20" s="1">
        <v>9</v>
      </c>
      <c r="N20" s="1">
        <v>3</v>
      </c>
      <c r="O20" s="1">
        <v>2</v>
      </c>
      <c r="P20" s="1">
        <v>7</v>
      </c>
      <c r="Q20" s="1">
        <v>0</v>
      </c>
      <c r="R20" s="1">
        <v>1</v>
      </c>
      <c r="S20" s="1">
        <v>25</v>
      </c>
      <c r="T20" s="1">
        <v>0</v>
      </c>
      <c r="U20" s="1">
        <v>3</v>
      </c>
    </row>
    <row r="21" spans="1:21" x14ac:dyDescent="0.25">
      <c r="A21" s="1">
        <v>2009</v>
      </c>
      <c r="B21" s="1">
        <v>36</v>
      </c>
      <c r="C21" s="1">
        <v>29</v>
      </c>
      <c r="D21" s="1">
        <v>35</v>
      </c>
      <c r="E21" s="1">
        <v>0</v>
      </c>
      <c r="F21" s="1">
        <v>0</v>
      </c>
      <c r="G21" s="1">
        <v>1</v>
      </c>
      <c r="H21" s="1">
        <v>4</v>
      </c>
      <c r="I21" s="1">
        <v>13</v>
      </c>
      <c r="J21" s="1">
        <v>14</v>
      </c>
      <c r="K21" s="1">
        <v>5</v>
      </c>
      <c r="L21" s="1">
        <v>1</v>
      </c>
      <c r="M21" s="1">
        <v>12</v>
      </c>
      <c r="N21" s="1">
        <v>3</v>
      </c>
      <c r="O21" s="1">
        <v>2</v>
      </c>
      <c r="P21" s="1">
        <v>7</v>
      </c>
      <c r="Q21" s="1">
        <v>0</v>
      </c>
      <c r="R21" s="1">
        <v>1</v>
      </c>
      <c r="S21" s="1">
        <v>25</v>
      </c>
      <c r="T21" s="1">
        <v>0</v>
      </c>
      <c r="U21" s="1">
        <v>5</v>
      </c>
    </row>
    <row r="22" spans="1:21" x14ac:dyDescent="0.25">
      <c r="A22" s="1">
        <v>2010</v>
      </c>
      <c r="B22" s="1">
        <v>36</v>
      </c>
      <c r="C22" s="1">
        <v>32</v>
      </c>
      <c r="D22" s="1">
        <v>36</v>
      </c>
      <c r="E22" s="1">
        <v>0</v>
      </c>
      <c r="F22" s="1">
        <v>0</v>
      </c>
      <c r="G22" s="1">
        <v>1</v>
      </c>
      <c r="H22" s="1">
        <v>4</v>
      </c>
      <c r="I22" s="1">
        <v>13</v>
      </c>
      <c r="J22" s="1">
        <v>18</v>
      </c>
      <c r="K22" s="1">
        <v>6</v>
      </c>
      <c r="L22" s="1">
        <v>1</v>
      </c>
      <c r="M22" s="1">
        <v>12</v>
      </c>
      <c r="N22" s="1">
        <v>3</v>
      </c>
      <c r="O22" s="1">
        <v>4</v>
      </c>
      <c r="P22" s="1">
        <v>10</v>
      </c>
      <c r="Q22" s="1">
        <v>0</v>
      </c>
      <c r="R22" s="1">
        <v>1</v>
      </c>
      <c r="S22" s="1">
        <v>25</v>
      </c>
      <c r="T22" s="1">
        <v>0</v>
      </c>
      <c r="U22" s="1">
        <v>7</v>
      </c>
    </row>
    <row r="23" spans="1:21" x14ac:dyDescent="0.25">
      <c r="A23" s="1">
        <v>2011</v>
      </c>
      <c r="B23" s="1">
        <v>36</v>
      </c>
      <c r="C23" s="1">
        <v>33</v>
      </c>
      <c r="D23" s="1">
        <v>36</v>
      </c>
      <c r="E23" s="1">
        <v>0</v>
      </c>
      <c r="F23" s="1">
        <v>1</v>
      </c>
      <c r="G23" s="1">
        <v>1</v>
      </c>
      <c r="H23" s="1">
        <v>5</v>
      </c>
      <c r="I23" s="1">
        <v>14</v>
      </c>
      <c r="J23" s="1">
        <v>19</v>
      </c>
      <c r="K23" s="1">
        <v>7</v>
      </c>
      <c r="L23" s="1">
        <v>1</v>
      </c>
      <c r="M23" s="1">
        <v>14</v>
      </c>
      <c r="N23" s="1">
        <v>3</v>
      </c>
      <c r="O23" s="1">
        <v>6</v>
      </c>
      <c r="P23" s="1">
        <v>10</v>
      </c>
      <c r="Q23" s="1">
        <v>0</v>
      </c>
      <c r="R23" s="1">
        <v>1</v>
      </c>
      <c r="S23" s="1">
        <v>25</v>
      </c>
      <c r="T23" s="1">
        <v>0</v>
      </c>
      <c r="U23" s="1">
        <v>11</v>
      </c>
    </row>
    <row r="24" spans="1:21" x14ac:dyDescent="0.25">
      <c r="A24" s="1">
        <v>2012</v>
      </c>
      <c r="B24" s="1">
        <v>36</v>
      </c>
      <c r="C24" s="1">
        <v>33</v>
      </c>
      <c r="D24" s="1">
        <v>36</v>
      </c>
      <c r="E24" s="1">
        <v>0</v>
      </c>
      <c r="F24" s="1">
        <v>1</v>
      </c>
      <c r="G24" s="1">
        <v>1</v>
      </c>
      <c r="H24" s="1">
        <v>5</v>
      </c>
      <c r="I24" s="1">
        <v>17</v>
      </c>
      <c r="J24" s="1">
        <v>20</v>
      </c>
      <c r="K24" s="1">
        <v>8</v>
      </c>
      <c r="L24" s="1">
        <v>1</v>
      </c>
      <c r="M24" s="1">
        <v>15</v>
      </c>
      <c r="N24" s="1">
        <v>3</v>
      </c>
      <c r="O24" s="1">
        <v>7</v>
      </c>
      <c r="P24" s="1">
        <v>10</v>
      </c>
      <c r="Q24" s="1">
        <v>1</v>
      </c>
      <c r="R24" s="1">
        <v>1</v>
      </c>
      <c r="S24" s="1">
        <v>25</v>
      </c>
      <c r="T24" s="1">
        <v>0</v>
      </c>
      <c r="U24" s="1">
        <v>12</v>
      </c>
    </row>
    <row r="25" spans="1:21" x14ac:dyDescent="0.25">
      <c r="A25" s="1">
        <v>2013</v>
      </c>
      <c r="B25" s="1">
        <v>36</v>
      </c>
      <c r="C25" s="1">
        <v>35</v>
      </c>
      <c r="D25" s="1">
        <v>36</v>
      </c>
      <c r="E25" s="1">
        <v>0</v>
      </c>
      <c r="F25" s="1">
        <v>3</v>
      </c>
      <c r="G25" s="1">
        <v>1</v>
      </c>
      <c r="H25" s="1">
        <v>5</v>
      </c>
      <c r="I25" s="1">
        <v>21</v>
      </c>
      <c r="J25" s="1">
        <v>21</v>
      </c>
      <c r="K25" s="1">
        <v>11</v>
      </c>
      <c r="L25" s="1">
        <v>1</v>
      </c>
      <c r="M25" s="1">
        <v>16</v>
      </c>
      <c r="N25" s="1">
        <v>4</v>
      </c>
      <c r="O25" s="1">
        <v>7</v>
      </c>
      <c r="P25" s="1">
        <v>12</v>
      </c>
      <c r="Q25" s="1">
        <v>1</v>
      </c>
      <c r="R25" s="1">
        <v>1</v>
      </c>
      <c r="S25" s="1">
        <v>25</v>
      </c>
      <c r="T25" s="1">
        <v>2</v>
      </c>
      <c r="U25" s="1">
        <v>17</v>
      </c>
    </row>
    <row r="26" spans="1:21" x14ac:dyDescent="0.25">
      <c r="A26" s="1">
        <v>2014</v>
      </c>
      <c r="B26" s="1">
        <v>36</v>
      </c>
      <c r="C26" s="1">
        <v>36</v>
      </c>
      <c r="D26" s="1">
        <v>36</v>
      </c>
      <c r="E26" s="1">
        <v>0</v>
      </c>
      <c r="F26" s="1">
        <v>12</v>
      </c>
      <c r="G26" s="1">
        <v>3</v>
      </c>
      <c r="H26" s="1">
        <v>6</v>
      </c>
      <c r="I26" s="1">
        <v>23</v>
      </c>
      <c r="J26" s="1">
        <v>22</v>
      </c>
      <c r="K26" s="1">
        <v>13</v>
      </c>
      <c r="L26" s="1">
        <v>2</v>
      </c>
      <c r="M26" s="1">
        <v>16</v>
      </c>
      <c r="N26" s="1">
        <v>4</v>
      </c>
      <c r="O26" s="1">
        <v>7</v>
      </c>
      <c r="P26" s="1">
        <v>12</v>
      </c>
      <c r="Q26" s="1">
        <v>2</v>
      </c>
      <c r="R26" s="1">
        <v>1</v>
      </c>
      <c r="S26" s="1">
        <v>25</v>
      </c>
      <c r="T26" s="1">
        <v>5</v>
      </c>
      <c r="U26" s="1">
        <v>23</v>
      </c>
    </row>
    <row r="27" spans="1:21" x14ac:dyDescent="0.25">
      <c r="A27" s="1">
        <v>2015</v>
      </c>
      <c r="B27" s="1">
        <v>36</v>
      </c>
      <c r="C27" s="1">
        <v>36</v>
      </c>
      <c r="D27" s="1">
        <v>36</v>
      </c>
      <c r="E27" s="1">
        <v>2</v>
      </c>
      <c r="F27" s="1">
        <v>18</v>
      </c>
      <c r="G27" s="1">
        <v>4</v>
      </c>
      <c r="H27" s="1">
        <v>7</v>
      </c>
      <c r="I27" s="1">
        <v>23</v>
      </c>
      <c r="J27" s="1">
        <v>24</v>
      </c>
      <c r="K27" s="1">
        <v>15</v>
      </c>
      <c r="L27" s="1">
        <v>2</v>
      </c>
      <c r="M27" s="1">
        <v>21</v>
      </c>
      <c r="N27" s="1">
        <v>4</v>
      </c>
      <c r="O27" s="1">
        <v>9</v>
      </c>
      <c r="P27" s="1">
        <v>34</v>
      </c>
      <c r="Q27" s="1">
        <v>2</v>
      </c>
      <c r="R27" s="1">
        <v>1</v>
      </c>
      <c r="S27" s="1">
        <v>25</v>
      </c>
      <c r="T27" s="1">
        <v>6</v>
      </c>
      <c r="U27" s="1">
        <v>24</v>
      </c>
    </row>
    <row r="28" spans="1:21" x14ac:dyDescent="0.25">
      <c r="A28" s="1">
        <v>2016</v>
      </c>
      <c r="B28" s="1">
        <v>36</v>
      </c>
      <c r="C28" s="1">
        <v>36</v>
      </c>
      <c r="D28" s="1">
        <v>36</v>
      </c>
      <c r="E28" s="1">
        <v>4</v>
      </c>
      <c r="F28" s="1">
        <v>34</v>
      </c>
      <c r="G28" s="1">
        <v>5</v>
      </c>
      <c r="H28" s="1">
        <v>7</v>
      </c>
      <c r="I28" s="1">
        <v>26</v>
      </c>
      <c r="J28" s="1">
        <v>25</v>
      </c>
      <c r="K28" s="1">
        <v>16</v>
      </c>
      <c r="L28" s="1">
        <v>2</v>
      </c>
      <c r="M28" s="1">
        <v>22</v>
      </c>
      <c r="N28" s="1">
        <v>4</v>
      </c>
      <c r="O28" s="1">
        <v>12</v>
      </c>
      <c r="P28" s="1">
        <v>34</v>
      </c>
      <c r="Q28" s="1">
        <v>2</v>
      </c>
      <c r="R28" s="1">
        <v>1</v>
      </c>
      <c r="S28" s="1">
        <v>25</v>
      </c>
      <c r="T28" s="1">
        <v>26</v>
      </c>
      <c r="U28" s="1">
        <v>24</v>
      </c>
    </row>
    <row r="29" spans="1:21" x14ac:dyDescent="0.25">
      <c r="A29" s="1">
        <v>2017</v>
      </c>
      <c r="B29" s="1">
        <v>36</v>
      </c>
      <c r="C29" s="1">
        <v>36</v>
      </c>
      <c r="D29" s="1">
        <v>36</v>
      </c>
      <c r="E29" s="1">
        <v>8</v>
      </c>
      <c r="F29" s="1">
        <v>34</v>
      </c>
      <c r="G29" s="1">
        <v>6</v>
      </c>
      <c r="H29" s="1">
        <v>9</v>
      </c>
      <c r="I29" s="1">
        <v>26</v>
      </c>
      <c r="J29" s="1">
        <v>25</v>
      </c>
      <c r="K29" s="1">
        <v>17</v>
      </c>
      <c r="L29" s="1">
        <v>2</v>
      </c>
      <c r="M29" s="1">
        <v>22</v>
      </c>
      <c r="N29" s="1">
        <v>4</v>
      </c>
      <c r="O29" s="1">
        <v>12</v>
      </c>
      <c r="P29" s="1">
        <v>35</v>
      </c>
      <c r="Q29" s="1">
        <v>2</v>
      </c>
      <c r="R29" s="1">
        <v>1</v>
      </c>
      <c r="S29" s="1">
        <v>25</v>
      </c>
      <c r="T29" s="1">
        <v>29</v>
      </c>
      <c r="U29" s="1">
        <v>24</v>
      </c>
    </row>
    <row r="30" spans="1:21" x14ac:dyDescent="0.25">
      <c r="A30" s="1">
        <v>2018</v>
      </c>
      <c r="B30" s="1">
        <v>36</v>
      </c>
      <c r="C30" s="1">
        <v>36</v>
      </c>
      <c r="D30" s="1">
        <v>36</v>
      </c>
      <c r="E30" s="1">
        <v>10</v>
      </c>
      <c r="F30" s="1">
        <v>34</v>
      </c>
      <c r="G30" s="1">
        <v>9</v>
      </c>
      <c r="H30" s="1">
        <v>30</v>
      </c>
      <c r="I30" s="1">
        <v>26</v>
      </c>
      <c r="J30" s="1">
        <v>25</v>
      </c>
      <c r="K30" s="1">
        <v>19</v>
      </c>
      <c r="L30" s="1">
        <v>3</v>
      </c>
      <c r="M30" s="1">
        <v>23</v>
      </c>
      <c r="N30" s="1">
        <v>4</v>
      </c>
      <c r="O30" s="1">
        <v>12</v>
      </c>
      <c r="P30" s="1">
        <v>35</v>
      </c>
      <c r="Q30" s="1">
        <v>2</v>
      </c>
      <c r="R30" s="1">
        <v>1</v>
      </c>
      <c r="S30" s="1">
        <v>25</v>
      </c>
      <c r="T30" s="1">
        <v>31</v>
      </c>
      <c r="U30" s="1">
        <v>25</v>
      </c>
    </row>
    <row r="31" spans="1:21" x14ac:dyDescent="0.25">
      <c r="A31" s="1">
        <v>2019</v>
      </c>
      <c r="B31" s="1">
        <v>36</v>
      </c>
      <c r="C31" s="1">
        <v>36</v>
      </c>
      <c r="D31" s="1">
        <v>36</v>
      </c>
      <c r="E31" s="1">
        <v>13</v>
      </c>
      <c r="F31" s="1">
        <v>34</v>
      </c>
      <c r="G31" s="1">
        <v>10</v>
      </c>
      <c r="H31" s="1">
        <v>30</v>
      </c>
      <c r="I31" s="1">
        <v>26</v>
      </c>
      <c r="J31" s="1">
        <v>26</v>
      </c>
      <c r="K31" s="1">
        <v>21</v>
      </c>
      <c r="L31" s="1">
        <v>3</v>
      </c>
      <c r="M31" s="1">
        <v>24</v>
      </c>
      <c r="N31" s="1">
        <v>4</v>
      </c>
      <c r="O31" s="1">
        <v>12</v>
      </c>
      <c r="P31" s="1">
        <v>35</v>
      </c>
      <c r="Q31" s="1">
        <v>2</v>
      </c>
      <c r="R31" s="1">
        <v>1</v>
      </c>
      <c r="S31" s="1">
        <v>25</v>
      </c>
      <c r="T31" s="1">
        <v>34</v>
      </c>
      <c r="U31" s="1">
        <v>25</v>
      </c>
    </row>
    <row r="32" spans="1:21" x14ac:dyDescent="0.25">
      <c r="A32" s="1">
        <v>2020</v>
      </c>
      <c r="B32" s="1">
        <v>36</v>
      </c>
      <c r="C32" s="1">
        <v>36</v>
      </c>
      <c r="D32" s="1">
        <v>36</v>
      </c>
      <c r="E32" s="1">
        <v>17</v>
      </c>
      <c r="F32" s="1">
        <v>34</v>
      </c>
      <c r="G32" s="1">
        <v>12</v>
      </c>
      <c r="H32" s="1">
        <v>31</v>
      </c>
      <c r="I32" s="1">
        <v>34</v>
      </c>
      <c r="J32" s="1">
        <v>27</v>
      </c>
      <c r="K32" s="1">
        <v>21</v>
      </c>
      <c r="L32" s="1">
        <v>3</v>
      </c>
      <c r="M32" s="1">
        <v>24</v>
      </c>
      <c r="N32" s="1">
        <v>4</v>
      </c>
      <c r="O32" s="1">
        <v>13</v>
      </c>
      <c r="P32" s="1">
        <v>36</v>
      </c>
      <c r="Q32" s="1">
        <v>2</v>
      </c>
      <c r="R32" s="1">
        <v>1</v>
      </c>
      <c r="S32" s="1">
        <v>25</v>
      </c>
      <c r="T32" s="1">
        <v>35</v>
      </c>
      <c r="U32" s="1">
        <v>33</v>
      </c>
    </row>
    <row r="33" spans="1:21" x14ac:dyDescent="0.25">
      <c r="A33" s="1">
        <v>2021</v>
      </c>
      <c r="B33" s="1">
        <v>36</v>
      </c>
      <c r="C33" s="1">
        <v>36</v>
      </c>
      <c r="D33" s="1">
        <v>36</v>
      </c>
      <c r="E33" s="1">
        <v>17</v>
      </c>
      <c r="F33" s="1">
        <v>34</v>
      </c>
      <c r="G33" s="1">
        <v>28</v>
      </c>
      <c r="H33" s="1">
        <v>31</v>
      </c>
      <c r="I33" s="1">
        <v>34</v>
      </c>
      <c r="J33" s="1">
        <v>27</v>
      </c>
      <c r="K33" s="1">
        <v>21</v>
      </c>
      <c r="L33" s="1">
        <v>3</v>
      </c>
      <c r="M33" s="1">
        <v>24</v>
      </c>
      <c r="N33" s="1">
        <v>4</v>
      </c>
      <c r="O33" s="1">
        <v>14</v>
      </c>
      <c r="P33" s="1">
        <v>36</v>
      </c>
      <c r="Q33" s="1">
        <v>2</v>
      </c>
      <c r="R33" s="1">
        <v>1</v>
      </c>
      <c r="S33" s="1">
        <v>25</v>
      </c>
      <c r="T33" s="1">
        <v>35</v>
      </c>
      <c r="U33" s="1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tabColor rgb="FFFFC000"/>
  </sheetPr>
  <dimension ref="A1:U33"/>
  <sheetViews>
    <sheetView zoomScale="80" zoomScaleNormal="80" workbookViewId="0">
      <pane xSplit="1" ySplit="1" topLeftCell="B8" activePane="bottomRight" state="frozen"/>
      <selection activeCell="U25" sqref="U25"/>
      <selection pane="topRight" activeCell="U25" sqref="U25"/>
      <selection pane="bottomLeft" activeCell="U25" sqref="U25"/>
      <selection pane="bottomRight" activeCell="E31" sqref="E31"/>
    </sheetView>
  </sheetViews>
  <sheetFormatPr defaultRowHeight="15" x14ac:dyDescent="0.25"/>
  <sheetData>
    <row r="1" spans="1:21" x14ac:dyDescent="0.25">
      <c r="A1" t="s">
        <v>77</v>
      </c>
      <c r="B1" t="s">
        <v>78</v>
      </c>
      <c r="C1" t="s">
        <v>79</v>
      </c>
      <c r="D1" t="s">
        <v>80</v>
      </c>
      <c r="E1" t="s">
        <v>81</v>
      </c>
      <c r="F1" t="s">
        <v>82</v>
      </c>
      <c r="G1" t="s">
        <v>83</v>
      </c>
      <c r="H1" t="s">
        <v>84</v>
      </c>
      <c r="I1" t="s">
        <v>85</v>
      </c>
      <c r="J1" t="s">
        <v>86</v>
      </c>
      <c r="K1" t="s">
        <v>87</v>
      </c>
      <c r="L1" t="s">
        <v>88</v>
      </c>
      <c r="M1" t="s">
        <v>89</v>
      </c>
      <c r="N1" t="s">
        <v>90</v>
      </c>
      <c r="O1" t="s">
        <v>91</v>
      </c>
      <c r="P1" t="s">
        <v>92</v>
      </c>
      <c r="Q1" t="s">
        <v>93</v>
      </c>
      <c r="R1" t="s">
        <v>94</v>
      </c>
      <c r="S1" t="s">
        <v>95</v>
      </c>
      <c r="T1" t="s">
        <v>96</v>
      </c>
      <c r="U1" t="s">
        <v>97</v>
      </c>
    </row>
    <row r="2" spans="1:21" x14ac:dyDescent="0.25">
      <c r="A2" s="1">
        <v>1990</v>
      </c>
      <c r="B2" s="1">
        <v>98</v>
      </c>
      <c r="C2" s="1">
        <v>2</v>
      </c>
      <c r="D2" s="1">
        <v>7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1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1</v>
      </c>
      <c r="S2" s="1">
        <v>5</v>
      </c>
      <c r="T2" s="1">
        <v>0</v>
      </c>
      <c r="U2" s="1">
        <v>0</v>
      </c>
    </row>
    <row r="3" spans="1:21" x14ac:dyDescent="0.25">
      <c r="A3" s="1">
        <v>1991</v>
      </c>
      <c r="B3" s="1">
        <v>98</v>
      </c>
      <c r="C3" s="1">
        <v>3</v>
      </c>
      <c r="D3" s="1">
        <v>10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1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2</v>
      </c>
      <c r="S3" s="1">
        <v>7</v>
      </c>
      <c r="T3" s="1">
        <v>0</v>
      </c>
      <c r="U3" s="1">
        <v>0</v>
      </c>
    </row>
    <row r="4" spans="1:21" x14ac:dyDescent="0.25">
      <c r="A4" s="1">
        <v>1992</v>
      </c>
      <c r="B4" s="1">
        <v>98</v>
      </c>
      <c r="C4" s="1">
        <v>5</v>
      </c>
      <c r="D4" s="1">
        <v>15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1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1</v>
      </c>
      <c r="Q4" s="1">
        <v>1</v>
      </c>
      <c r="R4" s="1">
        <v>2</v>
      </c>
      <c r="S4" s="1">
        <v>10</v>
      </c>
      <c r="T4" s="1">
        <v>0</v>
      </c>
      <c r="U4" s="1">
        <v>0</v>
      </c>
    </row>
    <row r="5" spans="1:21" x14ac:dyDescent="0.25">
      <c r="A5" s="1">
        <v>1993</v>
      </c>
      <c r="B5" s="1">
        <v>98</v>
      </c>
      <c r="C5" s="1">
        <v>9</v>
      </c>
      <c r="D5" s="1">
        <v>21</v>
      </c>
      <c r="E5" s="1">
        <v>0</v>
      </c>
      <c r="F5" s="1">
        <v>0</v>
      </c>
      <c r="G5" s="1">
        <v>1</v>
      </c>
      <c r="H5" s="1">
        <v>0</v>
      </c>
      <c r="I5" s="1">
        <v>0</v>
      </c>
      <c r="J5" s="1">
        <v>1</v>
      </c>
      <c r="K5" s="1">
        <v>0</v>
      </c>
      <c r="L5" s="1">
        <v>0</v>
      </c>
      <c r="M5" s="1">
        <v>0</v>
      </c>
      <c r="N5" s="1">
        <v>1</v>
      </c>
      <c r="O5" s="1">
        <v>0</v>
      </c>
      <c r="P5" s="1">
        <v>1</v>
      </c>
      <c r="Q5" s="1">
        <v>1</v>
      </c>
      <c r="R5" s="1">
        <v>4</v>
      </c>
      <c r="S5" s="1">
        <v>12</v>
      </c>
      <c r="T5" s="1">
        <v>0</v>
      </c>
      <c r="U5" s="1">
        <v>1</v>
      </c>
    </row>
    <row r="6" spans="1:21" x14ac:dyDescent="0.25">
      <c r="A6" s="1">
        <v>1994</v>
      </c>
      <c r="B6" s="1">
        <v>98</v>
      </c>
      <c r="C6" s="1">
        <v>14</v>
      </c>
      <c r="D6" s="1">
        <v>28</v>
      </c>
      <c r="E6" s="1">
        <v>0</v>
      </c>
      <c r="F6" s="1">
        <v>0</v>
      </c>
      <c r="G6" s="1">
        <v>2</v>
      </c>
      <c r="H6" s="1">
        <v>1</v>
      </c>
      <c r="I6" s="1">
        <v>1</v>
      </c>
      <c r="J6" s="1">
        <v>1</v>
      </c>
      <c r="K6" s="1">
        <v>0</v>
      </c>
      <c r="L6" s="1">
        <v>0</v>
      </c>
      <c r="M6" s="1">
        <v>0</v>
      </c>
      <c r="N6" s="1">
        <v>1</v>
      </c>
      <c r="O6" s="1">
        <v>0</v>
      </c>
      <c r="P6" s="1">
        <v>2</v>
      </c>
      <c r="Q6" s="1">
        <v>1</v>
      </c>
      <c r="R6" s="1">
        <v>5</v>
      </c>
      <c r="S6" s="1">
        <v>15</v>
      </c>
      <c r="T6" s="1">
        <v>0</v>
      </c>
      <c r="U6" s="1">
        <v>1</v>
      </c>
    </row>
    <row r="7" spans="1:21" x14ac:dyDescent="0.25">
      <c r="A7" s="1">
        <v>1995</v>
      </c>
      <c r="B7" s="1">
        <v>98</v>
      </c>
      <c r="C7" s="1">
        <v>20</v>
      </c>
      <c r="D7" s="1">
        <v>32</v>
      </c>
      <c r="E7" s="1">
        <v>0</v>
      </c>
      <c r="F7" s="1">
        <v>0</v>
      </c>
      <c r="G7" s="1">
        <v>2</v>
      </c>
      <c r="H7" s="1">
        <v>1</v>
      </c>
      <c r="I7" s="1">
        <v>1</v>
      </c>
      <c r="J7" s="1">
        <v>2</v>
      </c>
      <c r="K7" s="1">
        <v>0</v>
      </c>
      <c r="L7" s="1">
        <v>0</v>
      </c>
      <c r="M7" s="1">
        <v>1</v>
      </c>
      <c r="N7" s="1">
        <v>2</v>
      </c>
      <c r="O7" s="1">
        <v>0</v>
      </c>
      <c r="P7" s="1">
        <v>4</v>
      </c>
      <c r="Q7" s="1">
        <v>2</v>
      </c>
      <c r="R7" s="1">
        <v>7</v>
      </c>
      <c r="S7" s="1">
        <v>16</v>
      </c>
      <c r="T7" s="1">
        <v>0</v>
      </c>
      <c r="U7" s="1">
        <v>1</v>
      </c>
    </row>
    <row r="8" spans="1:21" x14ac:dyDescent="0.25">
      <c r="A8" s="1">
        <v>1996</v>
      </c>
      <c r="B8" s="1">
        <v>98</v>
      </c>
      <c r="C8" s="1">
        <v>28</v>
      </c>
      <c r="D8" s="1">
        <v>39</v>
      </c>
      <c r="E8" s="1">
        <v>0</v>
      </c>
      <c r="F8" s="1">
        <v>0</v>
      </c>
      <c r="G8" s="1">
        <v>4</v>
      </c>
      <c r="H8" s="1">
        <v>2</v>
      </c>
      <c r="I8" s="1">
        <v>2</v>
      </c>
      <c r="J8" s="1">
        <v>2</v>
      </c>
      <c r="K8" s="1">
        <v>1</v>
      </c>
      <c r="L8" s="1">
        <v>1</v>
      </c>
      <c r="M8" s="1">
        <v>2</v>
      </c>
      <c r="N8" s="1">
        <v>3</v>
      </c>
      <c r="O8" s="1">
        <v>0</v>
      </c>
      <c r="P8" s="1">
        <v>4</v>
      </c>
      <c r="Q8" s="1">
        <v>3</v>
      </c>
      <c r="R8" s="1">
        <v>11</v>
      </c>
      <c r="S8" s="1">
        <v>17</v>
      </c>
      <c r="T8" s="1">
        <v>0</v>
      </c>
      <c r="U8" s="1">
        <v>1</v>
      </c>
    </row>
    <row r="9" spans="1:21" x14ac:dyDescent="0.25">
      <c r="A9" s="1">
        <v>1997</v>
      </c>
      <c r="B9" s="1">
        <v>98</v>
      </c>
      <c r="C9" s="1">
        <v>35</v>
      </c>
      <c r="D9" s="1">
        <v>45</v>
      </c>
      <c r="E9" s="1">
        <v>0</v>
      </c>
      <c r="F9" s="1">
        <v>0</v>
      </c>
      <c r="G9" s="1">
        <v>5</v>
      </c>
      <c r="H9" s="1">
        <v>3</v>
      </c>
      <c r="I9" s="1">
        <v>2</v>
      </c>
      <c r="J9" s="1">
        <v>3</v>
      </c>
      <c r="K9" s="1">
        <v>1</v>
      </c>
      <c r="L9" s="1">
        <v>1</v>
      </c>
      <c r="M9" s="1">
        <v>3</v>
      </c>
      <c r="N9" s="1">
        <v>4</v>
      </c>
      <c r="O9" s="1">
        <v>0</v>
      </c>
      <c r="P9" s="1">
        <v>6</v>
      </c>
      <c r="Q9" s="1">
        <v>3</v>
      </c>
      <c r="R9" s="1">
        <v>16</v>
      </c>
      <c r="S9" s="1">
        <v>17</v>
      </c>
      <c r="T9" s="1">
        <v>0</v>
      </c>
      <c r="U9" s="1">
        <v>1</v>
      </c>
    </row>
    <row r="10" spans="1:21" x14ac:dyDescent="0.25">
      <c r="A10" s="1">
        <v>1998</v>
      </c>
      <c r="B10" s="1">
        <v>98</v>
      </c>
      <c r="C10" s="1">
        <v>37</v>
      </c>
      <c r="D10" s="1">
        <v>48</v>
      </c>
      <c r="E10" s="1">
        <v>0</v>
      </c>
      <c r="F10" s="1">
        <v>0</v>
      </c>
      <c r="G10" s="1">
        <v>5</v>
      </c>
      <c r="H10" s="1">
        <v>4</v>
      </c>
      <c r="I10" s="1">
        <v>3</v>
      </c>
      <c r="J10" s="1">
        <v>3</v>
      </c>
      <c r="K10" s="1">
        <v>1</v>
      </c>
      <c r="L10" s="1">
        <v>1</v>
      </c>
      <c r="M10" s="1">
        <v>4</v>
      </c>
      <c r="N10" s="1">
        <v>4</v>
      </c>
      <c r="O10" s="1">
        <v>0</v>
      </c>
      <c r="P10" s="1">
        <v>7</v>
      </c>
      <c r="Q10" s="1">
        <v>3</v>
      </c>
      <c r="R10" s="1">
        <v>17</v>
      </c>
      <c r="S10" s="1">
        <v>21</v>
      </c>
      <c r="T10" s="1">
        <v>0</v>
      </c>
      <c r="U10" s="1">
        <v>2</v>
      </c>
    </row>
    <row r="11" spans="1:21" x14ac:dyDescent="0.25">
      <c r="A11" s="1">
        <v>1999</v>
      </c>
      <c r="B11" s="1">
        <v>98</v>
      </c>
      <c r="C11" s="1">
        <v>39</v>
      </c>
      <c r="D11" s="1">
        <v>49</v>
      </c>
      <c r="E11" s="1">
        <v>0</v>
      </c>
      <c r="F11" s="1">
        <v>0</v>
      </c>
      <c r="G11" s="1">
        <v>5</v>
      </c>
      <c r="H11" s="1">
        <v>4</v>
      </c>
      <c r="I11" s="1">
        <v>3</v>
      </c>
      <c r="J11" s="1">
        <v>3</v>
      </c>
      <c r="K11" s="1">
        <v>1</v>
      </c>
      <c r="L11" s="1">
        <v>1</v>
      </c>
      <c r="M11" s="1">
        <v>4</v>
      </c>
      <c r="N11" s="1">
        <v>5</v>
      </c>
      <c r="O11" s="1">
        <v>1</v>
      </c>
      <c r="P11" s="1">
        <v>7</v>
      </c>
      <c r="Q11" s="1">
        <v>3</v>
      </c>
      <c r="R11" s="1">
        <v>19</v>
      </c>
      <c r="S11" s="1">
        <v>22</v>
      </c>
      <c r="T11" s="1">
        <v>0</v>
      </c>
      <c r="U11" s="1">
        <v>2</v>
      </c>
    </row>
    <row r="12" spans="1:21" x14ac:dyDescent="0.25">
      <c r="A12" s="1">
        <v>2000</v>
      </c>
      <c r="B12" s="1">
        <v>98</v>
      </c>
      <c r="C12" s="1">
        <v>44</v>
      </c>
      <c r="D12" s="1">
        <v>53</v>
      </c>
      <c r="E12" s="1">
        <v>0</v>
      </c>
      <c r="F12" s="1">
        <v>0</v>
      </c>
      <c r="G12" s="1">
        <v>5</v>
      </c>
      <c r="H12" s="1">
        <v>6</v>
      </c>
      <c r="I12" s="1">
        <v>3</v>
      </c>
      <c r="J12" s="1">
        <v>5</v>
      </c>
      <c r="K12" s="1">
        <v>2</v>
      </c>
      <c r="L12" s="1">
        <v>1</v>
      </c>
      <c r="M12" s="1">
        <v>5</v>
      </c>
      <c r="N12" s="1">
        <v>6</v>
      </c>
      <c r="O12" s="1">
        <v>1</v>
      </c>
      <c r="P12" s="1">
        <v>8</v>
      </c>
      <c r="Q12" s="1">
        <v>3</v>
      </c>
      <c r="R12" s="1">
        <v>22</v>
      </c>
      <c r="S12" s="1">
        <v>22</v>
      </c>
      <c r="T12" s="1">
        <v>0</v>
      </c>
      <c r="U12" s="1">
        <v>2</v>
      </c>
    </row>
    <row r="13" spans="1:21" x14ac:dyDescent="0.25">
      <c r="A13" s="1">
        <v>2001</v>
      </c>
      <c r="B13" s="1">
        <v>98</v>
      </c>
      <c r="C13" s="1">
        <v>50</v>
      </c>
      <c r="D13" s="1">
        <v>62</v>
      </c>
      <c r="E13" s="1">
        <v>0</v>
      </c>
      <c r="F13" s="1">
        <v>0</v>
      </c>
      <c r="G13" s="1">
        <v>6</v>
      </c>
      <c r="H13" s="1">
        <v>7</v>
      </c>
      <c r="I13" s="1">
        <v>3</v>
      </c>
      <c r="J13" s="1">
        <v>6</v>
      </c>
      <c r="K13" s="1">
        <v>2</v>
      </c>
      <c r="L13" s="1">
        <v>1</v>
      </c>
      <c r="M13" s="1">
        <v>7</v>
      </c>
      <c r="N13" s="1">
        <v>6</v>
      </c>
      <c r="O13" s="1">
        <v>1</v>
      </c>
      <c r="P13" s="1">
        <v>9</v>
      </c>
      <c r="Q13" s="1">
        <v>3</v>
      </c>
      <c r="R13" s="1">
        <v>25</v>
      </c>
      <c r="S13" s="1">
        <v>29</v>
      </c>
      <c r="T13" s="1">
        <v>0</v>
      </c>
      <c r="U13" s="1">
        <v>4</v>
      </c>
    </row>
    <row r="14" spans="1:21" x14ac:dyDescent="0.25">
      <c r="A14" s="1">
        <v>2002</v>
      </c>
      <c r="B14" s="1">
        <v>98</v>
      </c>
      <c r="C14" s="1">
        <v>55</v>
      </c>
      <c r="D14" s="1">
        <v>65</v>
      </c>
      <c r="E14" s="1">
        <v>1</v>
      </c>
      <c r="F14" s="1">
        <v>0</v>
      </c>
      <c r="G14" s="1">
        <v>6</v>
      </c>
      <c r="H14" s="1">
        <v>8</v>
      </c>
      <c r="I14" s="1">
        <v>3</v>
      </c>
      <c r="J14" s="1">
        <v>6</v>
      </c>
      <c r="K14" s="1">
        <v>3</v>
      </c>
      <c r="L14" s="1">
        <v>1</v>
      </c>
      <c r="M14" s="1">
        <v>7</v>
      </c>
      <c r="N14" s="1">
        <v>6</v>
      </c>
      <c r="O14" s="1">
        <v>1</v>
      </c>
      <c r="P14" s="1">
        <v>15</v>
      </c>
      <c r="Q14" s="1">
        <v>3</v>
      </c>
      <c r="R14" s="1">
        <v>27</v>
      </c>
      <c r="S14" s="1">
        <v>32</v>
      </c>
      <c r="T14" s="1">
        <v>0</v>
      </c>
      <c r="U14" s="1">
        <v>4</v>
      </c>
    </row>
    <row r="15" spans="1:21" x14ac:dyDescent="0.25">
      <c r="A15" s="1">
        <v>2003</v>
      </c>
      <c r="B15" s="1">
        <v>98</v>
      </c>
      <c r="C15" s="1">
        <v>59</v>
      </c>
      <c r="D15" s="1">
        <v>70</v>
      </c>
      <c r="E15" s="1">
        <v>1</v>
      </c>
      <c r="F15" s="1">
        <v>0</v>
      </c>
      <c r="G15" s="1">
        <v>7</v>
      </c>
      <c r="H15" s="1">
        <v>8</v>
      </c>
      <c r="I15" s="1">
        <v>4</v>
      </c>
      <c r="J15" s="1">
        <v>7</v>
      </c>
      <c r="K15" s="1">
        <v>3</v>
      </c>
      <c r="L15" s="1">
        <v>4</v>
      </c>
      <c r="M15" s="1">
        <v>8</v>
      </c>
      <c r="N15" s="1">
        <v>6</v>
      </c>
      <c r="O15" s="1">
        <v>2</v>
      </c>
      <c r="P15" s="1">
        <v>17</v>
      </c>
      <c r="Q15" s="1">
        <v>3</v>
      </c>
      <c r="R15" s="1">
        <v>33</v>
      </c>
      <c r="S15" s="1">
        <v>34</v>
      </c>
      <c r="T15" s="1">
        <v>0</v>
      </c>
      <c r="U15" s="1">
        <v>4</v>
      </c>
    </row>
    <row r="16" spans="1:21" x14ac:dyDescent="0.25">
      <c r="A16" s="1">
        <v>2004</v>
      </c>
      <c r="B16" s="1">
        <v>98</v>
      </c>
      <c r="C16" s="1">
        <v>65</v>
      </c>
      <c r="D16" s="1">
        <v>73</v>
      </c>
      <c r="E16" s="1">
        <v>1</v>
      </c>
      <c r="F16" s="1">
        <v>0</v>
      </c>
      <c r="G16" s="1">
        <v>8</v>
      </c>
      <c r="H16" s="1">
        <v>11</v>
      </c>
      <c r="I16" s="1">
        <v>6</v>
      </c>
      <c r="J16" s="1">
        <v>10</v>
      </c>
      <c r="K16" s="1">
        <v>10</v>
      </c>
      <c r="L16" s="1">
        <v>5</v>
      </c>
      <c r="M16" s="1">
        <v>11</v>
      </c>
      <c r="N16" s="1">
        <v>7</v>
      </c>
      <c r="O16" s="1">
        <v>2</v>
      </c>
      <c r="P16" s="1">
        <v>19</v>
      </c>
      <c r="Q16" s="1">
        <v>5</v>
      </c>
      <c r="R16" s="1">
        <v>36</v>
      </c>
      <c r="S16" s="1">
        <v>35</v>
      </c>
      <c r="T16" s="1">
        <v>0</v>
      </c>
      <c r="U16" s="1">
        <v>7</v>
      </c>
    </row>
    <row r="17" spans="1:21" x14ac:dyDescent="0.25">
      <c r="A17" s="1">
        <v>2005</v>
      </c>
      <c r="B17" s="1">
        <v>98</v>
      </c>
      <c r="C17" s="1">
        <v>67</v>
      </c>
      <c r="D17" s="1">
        <v>74</v>
      </c>
      <c r="E17" s="1">
        <v>1</v>
      </c>
      <c r="F17" s="1">
        <v>0</v>
      </c>
      <c r="G17" s="1">
        <v>8</v>
      </c>
      <c r="H17" s="1">
        <v>14</v>
      </c>
      <c r="I17" s="1">
        <v>9</v>
      </c>
      <c r="J17" s="1">
        <v>11</v>
      </c>
      <c r="K17" s="1">
        <v>11</v>
      </c>
      <c r="L17" s="1">
        <v>6</v>
      </c>
      <c r="M17" s="1">
        <v>11</v>
      </c>
      <c r="N17" s="1">
        <v>9</v>
      </c>
      <c r="O17" s="1">
        <v>2</v>
      </c>
      <c r="P17" s="1">
        <v>21</v>
      </c>
      <c r="Q17" s="1">
        <v>6</v>
      </c>
      <c r="R17" s="1">
        <v>38</v>
      </c>
      <c r="S17" s="1">
        <v>36</v>
      </c>
      <c r="T17" s="1">
        <v>0</v>
      </c>
      <c r="U17" s="1">
        <v>11</v>
      </c>
    </row>
    <row r="18" spans="1:21" x14ac:dyDescent="0.25">
      <c r="A18" s="1">
        <v>2006</v>
      </c>
      <c r="B18" s="1">
        <v>98</v>
      </c>
      <c r="C18" s="1">
        <v>70</v>
      </c>
      <c r="D18" s="1">
        <v>76</v>
      </c>
      <c r="E18" s="1">
        <v>1</v>
      </c>
      <c r="F18" s="1">
        <v>0</v>
      </c>
      <c r="G18" s="1">
        <v>8</v>
      </c>
      <c r="H18" s="1">
        <v>14</v>
      </c>
      <c r="I18" s="1">
        <v>13</v>
      </c>
      <c r="J18" s="1">
        <v>12</v>
      </c>
      <c r="K18" s="1">
        <v>11</v>
      </c>
      <c r="L18" s="1">
        <v>7</v>
      </c>
      <c r="M18" s="1">
        <v>16</v>
      </c>
      <c r="N18" s="1">
        <v>10</v>
      </c>
      <c r="O18" s="1">
        <v>2</v>
      </c>
      <c r="P18" s="1">
        <v>23</v>
      </c>
      <c r="Q18" s="1">
        <v>7</v>
      </c>
      <c r="R18" s="1">
        <v>42</v>
      </c>
      <c r="S18" s="1">
        <v>40</v>
      </c>
      <c r="T18" s="1">
        <v>0</v>
      </c>
      <c r="U18" s="1">
        <v>13</v>
      </c>
    </row>
    <row r="19" spans="1:21" x14ac:dyDescent="0.25">
      <c r="A19" s="1">
        <v>2007</v>
      </c>
      <c r="B19" s="1">
        <v>98</v>
      </c>
      <c r="C19" s="1">
        <v>75</v>
      </c>
      <c r="D19" s="1">
        <v>80</v>
      </c>
      <c r="E19" s="1">
        <v>1</v>
      </c>
      <c r="F19" s="1">
        <v>0</v>
      </c>
      <c r="G19" s="1">
        <v>8</v>
      </c>
      <c r="H19" s="1">
        <v>19</v>
      </c>
      <c r="I19" s="1">
        <v>15</v>
      </c>
      <c r="J19" s="1">
        <v>13</v>
      </c>
      <c r="K19" s="1">
        <v>11</v>
      </c>
      <c r="L19" s="1">
        <v>7</v>
      </c>
      <c r="M19" s="1">
        <v>18</v>
      </c>
      <c r="N19" s="1">
        <v>10</v>
      </c>
      <c r="O19" s="1">
        <v>3</v>
      </c>
      <c r="P19" s="1">
        <v>25</v>
      </c>
      <c r="Q19" s="1">
        <v>8</v>
      </c>
      <c r="R19" s="1">
        <v>46</v>
      </c>
      <c r="S19" s="1">
        <v>43</v>
      </c>
      <c r="T19" s="1">
        <v>0</v>
      </c>
      <c r="U19" s="1">
        <v>14</v>
      </c>
    </row>
    <row r="20" spans="1:21" x14ac:dyDescent="0.25">
      <c r="A20" s="1">
        <v>2008</v>
      </c>
      <c r="B20" s="1">
        <v>98</v>
      </c>
      <c r="C20" s="1">
        <v>77</v>
      </c>
      <c r="D20" s="1">
        <v>81</v>
      </c>
      <c r="E20" s="1">
        <v>2</v>
      </c>
      <c r="F20" s="1">
        <v>1</v>
      </c>
      <c r="G20" s="1">
        <v>9</v>
      </c>
      <c r="H20" s="1">
        <v>21</v>
      </c>
      <c r="I20" s="1">
        <v>21</v>
      </c>
      <c r="J20" s="1">
        <v>17</v>
      </c>
      <c r="K20" s="1">
        <v>13</v>
      </c>
      <c r="L20" s="1">
        <v>8</v>
      </c>
      <c r="M20" s="1">
        <v>20</v>
      </c>
      <c r="N20" s="1">
        <v>10</v>
      </c>
      <c r="O20" s="1">
        <v>3</v>
      </c>
      <c r="P20" s="1">
        <v>29</v>
      </c>
      <c r="Q20" s="1">
        <v>9</v>
      </c>
      <c r="R20" s="1">
        <v>49</v>
      </c>
      <c r="S20" s="1">
        <v>46</v>
      </c>
      <c r="T20" s="1">
        <v>0</v>
      </c>
      <c r="U20" s="1">
        <v>18</v>
      </c>
    </row>
    <row r="21" spans="1:21" x14ac:dyDescent="0.25">
      <c r="A21" s="1">
        <v>2009</v>
      </c>
      <c r="B21" s="1">
        <v>98</v>
      </c>
      <c r="C21" s="1">
        <v>82</v>
      </c>
      <c r="D21" s="1">
        <v>84</v>
      </c>
      <c r="E21" s="1">
        <v>2</v>
      </c>
      <c r="F21" s="1">
        <v>1</v>
      </c>
      <c r="G21" s="1">
        <v>9</v>
      </c>
      <c r="H21" s="1">
        <v>26</v>
      </c>
      <c r="I21" s="1">
        <v>24</v>
      </c>
      <c r="J21" s="1">
        <v>19</v>
      </c>
      <c r="K21" s="1">
        <v>13</v>
      </c>
      <c r="L21" s="1">
        <v>8</v>
      </c>
      <c r="M21" s="1">
        <v>21</v>
      </c>
      <c r="N21" s="1">
        <v>15</v>
      </c>
      <c r="O21" s="1">
        <v>4</v>
      </c>
      <c r="P21" s="1">
        <v>33</v>
      </c>
      <c r="Q21" s="1">
        <v>10</v>
      </c>
      <c r="R21" s="1">
        <v>55</v>
      </c>
      <c r="S21" s="1">
        <v>48</v>
      </c>
      <c r="T21" s="1">
        <v>0</v>
      </c>
      <c r="U21" s="1">
        <v>19</v>
      </c>
    </row>
    <row r="22" spans="1:21" x14ac:dyDescent="0.25">
      <c r="A22" s="1">
        <v>2010</v>
      </c>
      <c r="B22" s="1">
        <v>98</v>
      </c>
      <c r="C22" s="1">
        <v>83</v>
      </c>
      <c r="D22" s="1">
        <v>85</v>
      </c>
      <c r="E22" s="1">
        <v>3</v>
      </c>
      <c r="F22" s="1">
        <v>2</v>
      </c>
      <c r="G22" s="1">
        <v>10</v>
      </c>
      <c r="H22" s="1">
        <v>27</v>
      </c>
      <c r="I22" s="1">
        <v>28</v>
      </c>
      <c r="J22" s="1">
        <v>21</v>
      </c>
      <c r="K22" s="1">
        <v>16</v>
      </c>
      <c r="L22" s="1">
        <v>10</v>
      </c>
      <c r="M22" s="1">
        <v>25</v>
      </c>
      <c r="N22" s="1">
        <v>17</v>
      </c>
      <c r="O22" s="1">
        <v>5</v>
      </c>
      <c r="P22" s="1">
        <v>35</v>
      </c>
      <c r="Q22" s="1">
        <v>12</v>
      </c>
      <c r="R22" s="1">
        <v>57</v>
      </c>
      <c r="S22" s="1">
        <v>48</v>
      </c>
      <c r="T22" s="1">
        <v>0</v>
      </c>
      <c r="U22" s="1">
        <v>20</v>
      </c>
    </row>
    <row r="23" spans="1:21" x14ac:dyDescent="0.25">
      <c r="A23" s="1">
        <v>2011</v>
      </c>
      <c r="B23" s="1">
        <v>98</v>
      </c>
      <c r="C23" s="1">
        <v>92</v>
      </c>
      <c r="D23" s="1">
        <v>94</v>
      </c>
      <c r="E23" s="1">
        <v>3</v>
      </c>
      <c r="F23" s="1">
        <v>2</v>
      </c>
      <c r="G23" s="1">
        <v>10</v>
      </c>
      <c r="H23" s="1">
        <v>27</v>
      </c>
      <c r="I23" s="1">
        <v>29</v>
      </c>
      <c r="J23" s="1">
        <v>22</v>
      </c>
      <c r="K23" s="1">
        <v>18</v>
      </c>
      <c r="L23" s="1">
        <v>11</v>
      </c>
      <c r="M23" s="1">
        <v>27</v>
      </c>
      <c r="N23" s="1">
        <v>19</v>
      </c>
      <c r="O23" s="1">
        <v>6</v>
      </c>
      <c r="P23" s="1">
        <v>36</v>
      </c>
      <c r="Q23" s="1">
        <v>13</v>
      </c>
      <c r="R23" s="1">
        <v>69</v>
      </c>
      <c r="S23" s="1">
        <v>48</v>
      </c>
      <c r="T23" s="1">
        <v>1</v>
      </c>
      <c r="U23" s="1">
        <v>21</v>
      </c>
    </row>
    <row r="24" spans="1:21" x14ac:dyDescent="0.25">
      <c r="A24" s="1">
        <v>2012</v>
      </c>
      <c r="B24" s="1">
        <v>98</v>
      </c>
      <c r="C24" s="1">
        <v>94</v>
      </c>
      <c r="D24" s="1">
        <v>94</v>
      </c>
      <c r="E24" s="1">
        <v>4</v>
      </c>
      <c r="F24" s="1">
        <v>2</v>
      </c>
      <c r="G24" s="1">
        <v>12</v>
      </c>
      <c r="H24" s="1">
        <v>28</v>
      </c>
      <c r="I24" s="1">
        <v>30</v>
      </c>
      <c r="J24" s="1">
        <v>24</v>
      </c>
      <c r="K24" s="1">
        <v>20</v>
      </c>
      <c r="L24" s="1">
        <v>12</v>
      </c>
      <c r="M24" s="1">
        <v>27</v>
      </c>
      <c r="N24" s="1">
        <v>19</v>
      </c>
      <c r="O24" s="1">
        <v>8</v>
      </c>
      <c r="P24" s="1">
        <v>41</v>
      </c>
      <c r="Q24" s="1">
        <v>15</v>
      </c>
      <c r="R24" s="1">
        <v>71</v>
      </c>
      <c r="S24" s="1">
        <v>48</v>
      </c>
      <c r="T24" s="1">
        <v>2</v>
      </c>
      <c r="U24" s="1">
        <v>26</v>
      </c>
    </row>
    <row r="25" spans="1:21" x14ac:dyDescent="0.25">
      <c r="A25" s="1">
        <v>2013</v>
      </c>
      <c r="B25" s="1">
        <v>98</v>
      </c>
      <c r="C25" s="1">
        <v>94</v>
      </c>
      <c r="D25" s="1">
        <v>94</v>
      </c>
      <c r="E25" s="1">
        <v>4</v>
      </c>
      <c r="F25" s="1">
        <v>6</v>
      </c>
      <c r="G25" s="1">
        <v>16</v>
      </c>
      <c r="H25" s="1">
        <v>30</v>
      </c>
      <c r="I25" s="1">
        <v>33</v>
      </c>
      <c r="J25" s="1">
        <v>27</v>
      </c>
      <c r="K25" s="1">
        <v>21</v>
      </c>
      <c r="L25" s="1">
        <v>12</v>
      </c>
      <c r="M25" s="1">
        <v>31</v>
      </c>
      <c r="N25" s="1">
        <v>19</v>
      </c>
      <c r="O25" s="1">
        <v>9</v>
      </c>
      <c r="P25" s="1">
        <v>43</v>
      </c>
      <c r="Q25" s="1">
        <v>15</v>
      </c>
      <c r="R25" s="1">
        <v>72</v>
      </c>
      <c r="S25" s="1">
        <v>48</v>
      </c>
      <c r="T25" s="1">
        <v>3</v>
      </c>
      <c r="U25" s="1">
        <v>28</v>
      </c>
    </row>
    <row r="26" spans="1:21" x14ac:dyDescent="0.25">
      <c r="A26" s="1">
        <v>2014</v>
      </c>
      <c r="B26" s="1">
        <v>98</v>
      </c>
      <c r="C26" s="1">
        <v>96</v>
      </c>
      <c r="D26" s="1">
        <v>96</v>
      </c>
      <c r="E26" s="1">
        <v>5</v>
      </c>
      <c r="F26" s="1">
        <v>13</v>
      </c>
      <c r="G26" s="1">
        <v>19</v>
      </c>
      <c r="H26" s="1">
        <v>31</v>
      </c>
      <c r="I26" s="1">
        <v>37</v>
      </c>
      <c r="J26" s="1">
        <v>31</v>
      </c>
      <c r="K26" s="1">
        <v>24</v>
      </c>
      <c r="L26" s="1">
        <v>12</v>
      </c>
      <c r="M26" s="1">
        <v>34</v>
      </c>
      <c r="N26" s="1">
        <v>20</v>
      </c>
      <c r="O26" s="1">
        <v>9</v>
      </c>
      <c r="P26" s="1">
        <v>45</v>
      </c>
      <c r="Q26" s="1">
        <v>15</v>
      </c>
      <c r="R26" s="1">
        <v>74</v>
      </c>
      <c r="S26" s="1">
        <v>49</v>
      </c>
      <c r="T26" s="1">
        <v>4</v>
      </c>
      <c r="U26" s="1">
        <v>30</v>
      </c>
    </row>
    <row r="27" spans="1:21" x14ac:dyDescent="0.25">
      <c r="A27" s="1">
        <v>2015</v>
      </c>
      <c r="B27" s="1">
        <v>98</v>
      </c>
      <c r="C27" s="1">
        <v>96</v>
      </c>
      <c r="D27" s="1">
        <v>96</v>
      </c>
      <c r="E27" s="1">
        <v>5</v>
      </c>
      <c r="F27" s="1">
        <v>16</v>
      </c>
      <c r="G27" s="1">
        <v>23</v>
      </c>
      <c r="H27" s="1">
        <v>33</v>
      </c>
      <c r="I27" s="1">
        <v>40</v>
      </c>
      <c r="J27" s="1">
        <v>33</v>
      </c>
      <c r="K27" s="1">
        <v>26</v>
      </c>
      <c r="L27" s="1">
        <v>12</v>
      </c>
      <c r="M27" s="1">
        <v>37</v>
      </c>
      <c r="N27" s="1">
        <v>21</v>
      </c>
      <c r="O27" s="1">
        <v>9</v>
      </c>
      <c r="P27" s="1">
        <v>58</v>
      </c>
      <c r="Q27" s="1">
        <v>15</v>
      </c>
      <c r="R27" s="1">
        <v>74</v>
      </c>
      <c r="S27" s="1">
        <v>49</v>
      </c>
      <c r="T27" s="1">
        <v>6</v>
      </c>
      <c r="U27" s="1">
        <v>32</v>
      </c>
    </row>
    <row r="28" spans="1:21" x14ac:dyDescent="0.25">
      <c r="A28" s="1">
        <v>2016</v>
      </c>
      <c r="B28" s="1">
        <v>98</v>
      </c>
      <c r="C28" s="1">
        <v>97</v>
      </c>
      <c r="D28" s="1">
        <v>97</v>
      </c>
      <c r="E28" s="1">
        <v>5</v>
      </c>
      <c r="F28" s="1">
        <v>33</v>
      </c>
      <c r="G28" s="1">
        <v>27</v>
      </c>
      <c r="H28" s="1">
        <v>33</v>
      </c>
      <c r="I28" s="1">
        <v>44</v>
      </c>
      <c r="J28" s="1">
        <v>36</v>
      </c>
      <c r="K28" s="1">
        <v>27</v>
      </c>
      <c r="L28" s="1">
        <v>13</v>
      </c>
      <c r="M28" s="1">
        <v>39</v>
      </c>
      <c r="N28" s="1">
        <v>22</v>
      </c>
      <c r="O28" s="1">
        <v>9</v>
      </c>
      <c r="P28" s="1">
        <v>62</v>
      </c>
      <c r="Q28" s="1">
        <v>16</v>
      </c>
      <c r="R28" s="1">
        <v>76</v>
      </c>
      <c r="S28" s="1">
        <v>49</v>
      </c>
      <c r="T28" s="1">
        <v>17</v>
      </c>
      <c r="U28" s="1">
        <v>34</v>
      </c>
    </row>
    <row r="29" spans="1:21" x14ac:dyDescent="0.25">
      <c r="A29" s="1">
        <v>2017</v>
      </c>
      <c r="B29" s="1">
        <v>98</v>
      </c>
      <c r="C29" s="1">
        <v>97</v>
      </c>
      <c r="D29" s="1">
        <v>97</v>
      </c>
      <c r="E29" s="1">
        <v>5</v>
      </c>
      <c r="F29" s="1">
        <v>41</v>
      </c>
      <c r="G29" s="1">
        <v>29</v>
      </c>
      <c r="H29" s="1">
        <v>34</v>
      </c>
      <c r="I29" s="1">
        <v>46</v>
      </c>
      <c r="J29" s="1">
        <v>36</v>
      </c>
      <c r="K29" s="1">
        <v>27</v>
      </c>
      <c r="L29" s="1">
        <v>14</v>
      </c>
      <c r="M29" s="1">
        <v>42</v>
      </c>
      <c r="N29" s="1">
        <v>25</v>
      </c>
      <c r="O29" s="1">
        <v>9</v>
      </c>
      <c r="P29" s="1">
        <v>63</v>
      </c>
      <c r="Q29" s="1">
        <v>17</v>
      </c>
      <c r="R29" s="1">
        <v>76</v>
      </c>
      <c r="S29" s="1">
        <v>50</v>
      </c>
      <c r="T29" s="1">
        <v>26</v>
      </c>
      <c r="U29" s="1">
        <v>35</v>
      </c>
    </row>
    <row r="30" spans="1:21" x14ac:dyDescent="0.25">
      <c r="A30" s="1">
        <v>2018</v>
      </c>
      <c r="B30" s="1">
        <v>98</v>
      </c>
      <c r="C30" s="1">
        <v>97</v>
      </c>
      <c r="D30" s="1">
        <v>97</v>
      </c>
      <c r="E30" s="1">
        <v>6</v>
      </c>
      <c r="F30" s="1">
        <v>52</v>
      </c>
      <c r="G30" s="1">
        <v>44</v>
      </c>
      <c r="H30" s="1">
        <v>48</v>
      </c>
      <c r="I30" s="1">
        <v>53</v>
      </c>
      <c r="J30" s="1">
        <v>38</v>
      </c>
      <c r="K30" s="1">
        <v>31</v>
      </c>
      <c r="L30" s="1">
        <v>14</v>
      </c>
      <c r="M30" s="1">
        <v>50</v>
      </c>
      <c r="N30" s="1">
        <v>25</v>
      </c>
      <c r="O30" s="1">
        <v>10</v>
      </c>
      <c r="P30" s="1">
        <v>72</v>
      </c>
      <c r="Q30" s="1">
        <v>18</v>
      </c>
      <c r="R30" s="1">
        <v>77</v>
      </c>
      <c r="S30" s="1">
        <v>51</v>
      </c>
      <c r="T30" s="1">
        <v>32</v>
      </c>
      <c r="U30" s="1">
        <v>38</v>
      </c>
    </row>
    <row r="31" spans="1:21" x14ac:dyDescent="0.25">
      <c r="A31" s="1">
        <v>2019</v>
      </c>
      <c r="B31" s="1">
        <v>98</v>
      </c>
      <c r="C31" s="1">
        <v>97</v>
      </c>
      <c r="D31" s="1">
        <v>97</v>
      </c>
      <c r="E31" s="1">
        <v>7</v>
      </c>
      <c r="F31" s="1">
        <v>56</v>
      </c>
      <c r="G31" s="1">
        <v>45</v>
      </c>
      <c r="H31" s="1">
        <v>49</v>
      </c>
      <c r="I31" s="1">
        <v>53</v>
      </c>
      <c r="J31" s="1">
        <v>39</v>
      </c>
      <c r="K31" s="1">
        <v>33</v>
      </c>
      <c r="L31" s="1">
        <v>14</v>
      </c>
      <c r="M31" s="1">
        <v>53</v>
      </c>
      <c r="N31" s="1">
        <v>25</v>
      </c>
      <c r="O31" s="1">
        <v>10</v>
      </c>
      <c r="P31" s="1">
        <v>72</v>
      </c>
      <c r="Q31" s="1">
        <v>18</v>
      </c>
      <c r="R31" s="1">
        <v>77</v>
      </c>
      <c r="S31" s="1">
        <v>52</v>
      </c>
      <c r="T31" s="1">
        <v>36</v>
      </c>
      <c r="U31" s="1">
        <v>39</v>
      </c>
    </row>
    <row r="32" spans="1:21" x14ac:dyDescent="0.25">
      <c r="A32" s="1">
        <v>2020</v>
      </c>
      <c r="B32" s="1">
        <v>98</v>
      </c>
      <c r="C32" s="1">
        <v>97</v>
      </c>
      <c r="D32" s="1">
        <v>97</v>
      </c>
      <c r="E32" s="1">
        <v>8</v>
      </c>
      <c r="F32" s="1">
        <v>60</v>
      </c>
      <c r="G32" s="1">
        <v>46</v>
      </c>
      <c r="H32" s="1">
        <v>55</v>
      </c>
      <c r="I32" s="1">
        <v>62</v>
      </c>
      <c r="J32" s="1">
        <v>40</v>
      </c>
      <c r="K32" s="1">
        <v>34</v>
      </c>
      <c r="L32" s="1">
        <v>15</v>
      </c>
      <c r="M32" s="1">
        <v>55</v>
      </c>
      <c r="N32" s="1">
        <v>25</v>
      </c>
      <c r="O32" s="1">
        <v>10</v>
      </c>
      <c r="P32" s="1">
        <v>77</v>
      </c>
      <c r="Q32" s="1">
        <v>18</v>
      </c>
      <c r="R32" s="1">
        <v>78</v>
      </c>
      <c r="S32" s="1">
        <v>59</v>
      </c>
      <c r="T32" s="1">
        <v>47</v>
      </c>
      <c r="U32" s="1">
        <v>45</v>
      </c>
    </row>
    <row r="33" spans="1:21" x14ac:dyDescent="0.25">
      <c r="A33" s="1">
        <v>2021</v>
      </c>
      <c r="B33" s="1">
        <v>98</v>
      </c>
      <c r="C33" s="1">
        <v>97</v>
      </c>
      <c r="D33" s="1">
        <v>98</v>
      </c>
      <c r="E33" s="1">
        <v>8</v>
      </c>
      <c r="F33" s="1">
        <v>64</v>
      </c>
      <c r="G33" s="1">
        <v>53</v>
      </c>
      <c r="H33" s="1">
        <v>55</v>
      </c>
      <c r="I33" s="1">
        <v>63</v>
      </c>
      <c r="J33" s="1">
        <v>40</v>
      </c>
      <c r="K33" s="1">
        <v>34</v>
      </c>
      <c r="L33" s="1">
        <v>15</v>
      </c>
      <c r="M33" s="1">
        <v>55</v>
      </c>
      <c r="N33" s="1">
        <v>25</v>
      </c>
      <c r="O33" s="1">
        <v>10</v>
      </c>
      <c r="P33" s="1">
        <v>77</v>
      </c>
      <c r="Q33" s="1">
        <v>18</v>
      </c>
      <c r="R33" s="1">
        <v>78</v>
      </c>
      <c r="S33" s="1">
        <v>60</v>
      </c>
      <c r="T33" s="1">
        <v>53</v>
      </c>
      <c r="U33" s="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>
    <tabColor rgb="FFFFC000"/>
  </sheetPr>
  <dimension ref="A1:U33"/>
  <sheetViews>
    <sheetView zoomScale="80" zoomScaleNormal="80" workbookViewId="0">
      <pane xSplit="1" ySplit="1" topLeftCell="B6" activePane="bottomRight" state="frozen"/>
      <selection pane="topRight" activeCell="B1" sqref="B1"/>
      <selection pane="bottomLeft" activeCell="A2" sqref="A2"/>
      <selection pane="bottomRight" activeCell="E31" sqref="E31"/>
    </sheetView>
  </sheetViews>
  <sheetFormatPr defaultRowHeight="15" x14ac:dyDescent="0.25"/>
  <sheetData>
    <row r="1" spans="1:21" x14ac:dyDescent="0.25">
      <c r="A1" t="s">
        <v>56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</row>
    <row r="2" spans="1:21" x14ac:dyDescent="0.25">
      <c r="A2" s="1">
        <v>1990</v>
      </c>
      <c r="B2" s="1">
        <v>134</v>
      </c>
      <c r="C2" s="1">
        <v>3</v>
      </c>
      <c r="D2" s="1">
        <v>14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1</v>
      </c>
      <c r="K2" s="1">
        <v>0</v>
      </c>
      <c r="L2" s="1">
        <v>0</v>
      </c>
      <c r="M2" s="1">
        <v>1</v>
      </c>
      <c r="N2" s="1">
        <v>0</v>
      </c>
      <c r="O2" s="1">
        <v>0</v>
      </c>
      <c r="P2" s="1">
        <v>0</v>
      </c>
      <c r="Q2" s="1">
        <v>0</v>
      </c>
      <c r="R2" s="1">
        <v>1</v>
      </c>
      <c r="S2" s="1">
        <v>11</v>
      </c>
      <c r="T2" s="1">
        <v>0</v>
      </c>
      <c r="U2" s="1">
        <v>0</v>
      </c>
    </row>
    <row r="3" spans="1:21" x14ac:dyDescent="0.25">
      <c r="A3" s="1">
        <v>1991</v>
      </c>
      <c r="B3" s="1">
        <v>134</v>
      </c>
      <c r="C3" s="1">
        <v>10</v>
      </c>
      <c r="D3" s="1">
        <v>22</v>
      </c>
      <c r="E3" s="1">
        <v>0</v>
      </c>
      <c r="F3" s="1">
        <v>0</v>
      </c>
      <c r="G3" s="1">
        <v>0</v>
      </c>
      <c r="H3" s="1">
        <v>0</v>
      </c>
      <c r="I3" s="1">
        <v>2</v>
      </c>
      <c r="J3" s="1">
        <v>2</v>
      </c>
      <c r="K3" s="1">
        <v>0</v>
      </c>
      <c r="L3" s="1">
        <v>0</v>
      </c>
      <c r="M3" s="1">
        <v>2</v>
      </c>
      <c r="N3" s="1">
        <v>0</v>
      </c>
      <c r="O3" s="1">
        <v>0</v>
      </c>
      <c r="P3" s="1">
        <v>3</v>
      </c>
      <c r="Q3" s="1">
        <v>0</v>
      </c>
      <c r="R3" s="1">
        <v>2</v>
      </c>
      <c r="S3" s="1">
        <v>14</v>
      </c>
      <c r="T3" s="1">
        <v>0</v>
      </c>
      <c r="U3" s="1">
        <v>0</v>
      </c>
    </row>
    <row r="4" spans="1:21" x14ac:dyDescent="0.25">
      <c r="A4" s="1">
        <v>1992</v>
      </c>
      <c r="B4" s="1">
        <v>134</v>
      </c>
      <c r="C4" s="1">
        <v>12</v>
      </c>
      <c r="D4" s="1">
        <v>28</v>
      </c>
      <c r="E4" s="1">
        <v>0</v>
      </c>
      <c r="F4" s="1">
        <v>0</v>
      </c>
      <c r="G4" s="1">
        <v>0</v>
      </c>
      <c r="H4" s="1">
        <v>0</v>
      </c>
      <c r="I4" s="1">
        <v>2</v>
      </c>
      <c r="J4" s="1">
        <v>2</v>
      </c>
      <c r="K4" s="1">
        <v>0</v>
      </c>
      <c r="L4" s="1">
        <v>0</v>
      </c>
      <c r="M4" s="1">
        <v>2</v>
      </c>
      <c r="N4" s="1">
        <v>0</v>
      </c>
      <c r="O4" s="1">
        <v>0</v>
      </c>
      <c r="P4" s="1">
        <v>4</v>
      </c>
      <c r="Q4" s="1">
        <v>1</v>
      </c>
      <c r="R4" s="1">
        <v>2</v>
      </c>
      <c r="S4" s="1">
        <v>18</v>
      </c>
      <c r="T4" s="1">
        <v>0</v>
      </c>
      <c r="U4" s="1">
        <v>0</v>
      </c>
    </row>
    <row r="5" spans="1:21" x14ac:dyDescent="0.25">
      <c r="A5" s="1">
        <v>1993</v>
      </c>
      <c r="B5" s="1">
        <v>134</v>
      </c>
      <c r="C5" s="1">
        <v>16</v>
      </c>
      <c r="D5" s="1">
        <v>36</v>
      </c>
      <c r="E5" s="1">
        <v>0</v>
      </c>
      <c r="F5" s="1">
        <v>0</v>
      </c>
      <c r="G5" s="1">
        <v>1</v>
      </c>
      <c r="H5" s="1">
        <v>0</v>
      </c>
      <c r="I5" s="1">
        <v>2</v>
      </c>
      <c r="J5" s="1">
        <v>2</v>
      </c>
      <c r="K5" s="1">
        <v>0</v>
      </c>
      <c r="L5" s="1">
        <v>0</v>
      </c>
      <c r="M5" s="1">
        <v>2</v>
      </c>
      <c r="N5" s="1">
        <v>1</v>
      </c>
      <c r="O5" s="1">
        <v>0</v>
      </c>
      <c r="P5" s="1">
        <v>4</v>
      </c>
      <c r="Q5" s="1">
        <v>1</v>
      </c>
      <c r="R5" s="1">
        <v>4</v>
      </c>
      <c r="S5" s="1">
        <v>22</v>
      </c>
      <c r="T5" s="1">
        <v>0</v>
      </c>
      <c r="U5" s="1">
        <v>1</v>
      </c>
    </row>
    <row r="6" spans="1:21" x14ac:dyDescent="0.25">
      <c r="A6" s="1">
        <v>1994</v>
      </c>
      <c r="B6" s="1">
        <v>134</v>
      </c>
      <c r="C6" s="1">
        <v>21</v>
      </c>
      <c r="D6" s="1">
        <v>43</v>
      </c>
      <c r="E6" s="1">
        <v>0</v>
      </c>
      <c r="F6" s="1">
        <v>0</v>
      </c>
      <c r="G6" s="1">
        <v>2</v>
      </c>
      <c r="H6" s="1">
        <v>1</v>
      </c>
      <c r="I6" s="1">
        <v>3</v>
      </c>
      <c r="J6" s="1">
        <v>2</v>
      </c>
      <c r="K6" s="1">
        <v>0</v>
      </c>
      <c r="L6" s="1">
        <v>0</v>
      </c>
      <c r="M6" s="1">
        <v>3</v>
      </c>
      <c r="N6" s="1">
        <v>1</v>
      </c>
      <c r="O6" s="1">
        <v>0</v>
      </c>
      <c r="P6" s="1">
        <v>5</v>
      </c>
      <c r="Q6" s="1">
        <v>1</v>
      </c>
      <c r="R6" s="1">
        <v>5</v>
      </c>
      <c r="S6" s="1">
        <v>26</v>
      </c>
      <c r="T6" s="1">
        <v>0</v>
      </c>
      <c r="U6" s="1">
        <v>1</v>
      </c>
    </row>
    <row r="7" spans="1:21" x14ac:dyDescent="0.25">
      <c r="A7" s="1">
        <v>1995</v>
      </c>
      <c r="B7" s="1">
        <v>134</v>
      </c>
      <c r="C7" s="1">
        <v>29</v>
      </c>
      <c r="D7" s="1">
        <v>49</v>
      </c>
      <c r="E7" s="1">
        <v>0</v>
      </c>
      <c r="F7" s="1">
        <v>0</v>
      </c>
      <c r="G7" s="1">
        <v>2</v>
      </c>
      <c r="H7" s="1">
        <v>1</v>
      </c>
      <c r="I7" s="1">
        <v>3</v>
      </c>
      <c r="J7" s="1">
        <v>4</v>
      </c>
      <c r="K7" s="1">
        <v>0</v>
      </c>
      <c r="L7" s="1">
        <v>0</v>
      </c>
      <c r="M7" s="1">
        <v>5</v>
      </c>
      <c r="N7" s="1">
        <v>2</v>
      </c>
      <c r="O7" s="1">
        <v>0</v>
      </c>
      <c r="P7" s="1">
        <v>7</v>
      </c>
      <c r="Q7" s="1">
        <v>2</v>
      </c>
      <c r="R7" s="1">
        <v>7</v>
      </c>
      <c r="S7" s="1">
        <v>28</v>
      </c>
      <c r="T7" s="1">
        <v>0</v>
      </c>
      <c r="U7" s="1">
        <v>1</v>
      </c>
    </row>
    <row r="8" spans="1:21" x14ac:dyDescent="0.25">
      <c r="A8" s="1">
        <v>1996</v>
      </c>
      <c r="B8" s="1">
        <v>134</v>
      </c>
      <c r="C8" s="1">
        <v>38</v>
      </c>
      <c r="D8" s="1">
        <v>57</v>
      </c>
      <c r="E8" s="1">
        <v>0</v>
      </c>
      <c r="F8" s="1">
        <v>0</v>
      </c>
      <c r="G8" s="1">
        <v>4</v>
      </c>
      <c r="H8" s="1">
        <v>2</v>
      </c>
      <c r="I8" s="1">
        <v>4</v>
      </c>
      <c r="J8" s="1">
        <v>5</v>
      </c>
      <c r="K8" s="1">
        <v>1</v>
      </c>
      <c r="L8" s="1">
        <v>1</v>
      </c>
      <c r="M8" s="1">
        <v>6</v>
      </c>
      <c r="N8" s="1">
        <v>3</v>
      </c>
      <c r="O8" s="1">
        <v>0</v>
      </c>
      <c r="P8" s="1">
        <v>8</v>
      </c>
      <c r="Q8" s="1">
        <v>3</v>
      </c>
      <c r="R8" s="1">
        <v>11</v>
      </c>
      <c r="S8" s="1">
        <v>29</v>
      </c>
      <c r="T8" s="1">
        <v>0</v>
      </c>
      <c r="U8" s="1">
        <v>1</v>
      </c>
    </row>
    <row r="9" spans="1:21" x14ac:dyDescent="0.25">
      <c r="A9" s="1">
        <v>1997</v>
      </c>
      <c r="B9" s="1">
        <v>134</v>
      </c>
      <c r="C9" s="1">
        <v>48</v>
      </c>
      <c r="D9" s="1">
        <v>66</v>
      </c>
      <c r="E9" s="1">
        <v>0</v>
      </c>
      <c r="F9" s="1">
        <v>0</v>
      </c>
      <c r="G9" s="1">
        <v>5</v>
      </c>
      <c r="H9" s="1">
        <v>3</v>
      </c>
      <c r="I9" s="1">
        <v>4</v>
      </c>
      <c r="J9" s="1">
        <v>8</v>
      </c>
      <c r="K9" s="1">
        <v>2</v>
      </c>
      <c r="L9" s="1">
        <v>1</v>
      </c>
      <c r="M9" s="1">
        <v>8</v>
      </c>
      <c r="N9" s="1">
        <v>4</v>
      </c>
      <c r="O9" s="1">
        <v>0</v>
      </c>
      <c r="P9" s="1">
        <v>11</v>
      </c>
      <c r="Q9" s="1">
        <v>3</v>
      </c>
      <c r="R9" s="1">
        <v>16</v>
      </c>
      <c r="S9" s="1">
        <v>30</v>
      </c>
      <c r="T9" s="1">
        <v>0</v>
      </c>
      <c r="U9" s="1">
        <v>1</v>
      </c>
    </row>
    <row r="10" spans="1:21" x14ac:dyDescent="0.25">
      <c r="A10" s="1">
        <v>1998</v>
      </c>
      <c r="B10" s="1">
        <v>134</v>
      </c>
      <c r="C10" s="1">
        <v>52</v>
      </c>
      <c r="D10" s="1">
        <v>71</v>
      </c>
      <c r="E10" s="1">
        <v>0</v>
      </c>
      <c r="F10" s="1">
        <v>0</v>
      </c>
      <c r="G10" s="1">
        <v>5</v>
      </c>
      <c r="H10" s="1">
        <v>4</v>
      </c>
      <c r="I10" s="1">
        <v>7</v>
      </c>
      <c r="J10" s="1">
        <v>9</v>
      </c>
      <c r="K10" s="1">
        <v>2</v>
      </c>
      <c r="L10" s="1">
        <v>1</v>
      </c>
      <c r="M10" s="1">
        <v>9</v>
      </c>
      <c r="N10" s="1">
        <v>4</v>
      </c>
      <c r="O10" s="1">
        <v>0</v>
      </c>
      <c r="P10" s="1">
        <v>12</v>
      </c>
      <c r="Q10" s="1">
        <v>3</v>
      </c>
      <c r="R10" s="1">
        <v>18</v>
      </c>
      <c r="S10" s="1">
        <v>34</v>
      </c>
      <c r="T10" s="1">
        <v>0</v>
      </c>
      <c r="U10" s="1">
        <v>2</v>
      </c>
    </row>
    <row r="11" spans="1:21" x14ac:dyDescent="0.25">
      <c r="A11" s="1">
        <v>1999</v>
      </c>
      <c r="B11" s="1">
        <v>134</v>
      </c>
      <c r="C11" s="1">
        <v>56</v>
      </c>
      <c r="D11" s="1">
        <v>79</v>
      </c>
      <c r="E11" s="1">
        <v>0</v>
      </c>
      <c r="F11" s="1">
        <v>0</v>
      </c>
      <c r="G11" s="1">
        <v>5</v>
      </c>
      <c r="H11" s="1">
        <v>4</v>
      </c>
      <c r="I11" s="1">
        <v>7</v>
      </c>
      <c r="J11" s="1">
        <v>9</v>
      </c>
      <c r="K11" s="1">
        <v>2</v>
      </c>
      <c r="L11" s="1">
        <v>2</v>
      </c>
      <c r="M11" s="1">
        <v>9</v>
      </c>
      <c r="N11" s="1">
        <v>5</v>
      </c>
      <c r="O11" s="1">
        <v>1</v>
      </c>
      <c r="P11" s="1">
        <v>13</v>
      </c>
      <c r="Q11" s="1">
        <v>3</v>
      </c>
      <c r="R11" s="1">
        <v>20</v>
      </c>
      <c r="S11" s="1">
        <v>42</v>
      </c>
      <c r="T11" s="1">
        <v>0</v>
      </c>
      <c r="U11" s="1">
        <v>2</v>
      </c>
    </row>
    <row r="12" spans="1:21" x14ac:dyDescent="0.25">
      <c r="A12" s="1">
        <v>2000</v>
      </c>
      <c r="B12" s="1">
        <v>134</v>
      </c>
      <c r="C12" s="1">
        <v>62</v>
      </c>
      <c r="D12" s="1">
        <v>83</v>
      </c>
      <c r="E12" s="1">
        <v>0</v>
      </c>
      <c r="F12" s="1">
        <v>0</v>
      </c>
      <c r="G12" s="1">
        <v>5</v>
      </c>
      <c r="H12" s="1">
        <v>7</v>
      </c>
      <c r="I12" s="1">
        <v>7</v>
      </c>
      <c r="J12" s="1">
        <v>11</v>
      </c>
      <c r="K12" s="1">
        <v>3</v>
      </c>
      <c r="L12" s="1">
        <v>2</v>
      </c>
      <c r="M12" s="1">
        <v>10</v>
      </c>
      <c r="N12" s="1">
        <v>6</v>
      </c>
      <c r="O12" s="1">
        <v>1</v>
      </c>
      <c r="P12" s="1">
        <v>14</v>
      </c>
      <c r="Q12" s="1">
        <v>3</v>
      </c>
      <c r="R12" s="1">
        <v>23</v>
      </c>
      <c r="S12" s="1">
        <v>44</v>
      </c>
      <c r="T12" s="1">
        <v>0</v>
      </c>
      <c r="U12" s="1">
        <v>4</v>
      </c>
    </row>
    <row r="13" spans="1:21" x14ac:dyDescent="0.25">
      <c r="A13" s="1">
        <v>2001</v>
      </c>
      <c r="B13" s="1">
        <v>134</v>
      </c>
      <c r="C13" s="1">
        <v>68</v>
      </c>
      <c r="D13" s="1">
        <v>92</v>
      </c>
      <c r="E13" s="1">
        <v>0</v>
      </c>
      <c r="F13" s="1">
        <v>0</v>
      </c>
      <c r="G13" s="1">
        <v>6</v>
      </c>
      <c r="H13" s="1">
        <v>8</v>
      </c>
      <c r="I13" s="1">
        <v>7</v>
      </c>
      <c r="J13" s="1">
        <v>14</v>
      </c>
      <c r="K13" s="1">
        <v>3</v>
      </c>
      <c r="L13" s="1">
        <v>2</v>
      </c>
      <c r="M13" s="1">
        <v>12</v>
      </c>
      <c r="N13" s="1">
        <v>6</v>
      </c>
      <c r="O13" s="1">
        <v>1</v>
      </c>
      <c r="P13" s="1">
        <v>15</v>
      </c>
      <c r="Q13" s="1">
        <v>3</v>
      </c>
      <c r="R13" s="1">
        <v>26</v>
      </c>
      <c r="S13" s="1">
        <v>51</v>
      </c>
      <c r="T13" s="1">
        <v>0</v>
      </c>
      <c r="U13" s="1">
        <v>6</v>
      </c>
    </row>
    <row r="14" spans="1:21" x14ac:dyDescent="0.25">
      <c r="A14" s="1">
        <v>2002</v>
      </c>
      <c r="B14" s="1">
        <v>134</v>
      </c>
      <c r="C14" s="1">
        <v>73</v>
      </c>
      <c r="D14" s="1">
        <v>96</v>
      </c>
      <c r="E14" s="1">
        <v>1</v>
      </c>
      <c r="F14" s="1">
        <v>0</v>
      </c>
      <c r="G14" s="1">
        <v>6</v>
      </c>
      <c r="H14" s="1">
        <v>10</v>
      </c>
      <c r="I14" s="1">
        <v>8</v>
      </c>
      <c r="J14" s="1">
        <v>15</v>
      </c>
      <c r="K14" s="1">
        <v>4</v>
      </c>
      <c r="L14" s="1">
        <v>2</v>
      </c>
      <c r="M14" s="1">
        <v>12</v>
      </c>
      <c r="N14" s="1">
        <v>6</v>
      </c>
      <c r="O14" s="1">
        <v>1</v>
      </c>
      <c r="P14" s="1">
        <v>21</v>
      </c>
      <c r="Q14" s="1">
        <v>3</v>
      </c>
      <c r="R14" s="1">
        <v>28</v>
      </c>
      <c r="S14" s="1">
        <v>55</v>
      </c>
      <c r="T14" s="1">
        <v>0</v>
      </c>
      <c r="U14" s="1">
        <v>6</v>
      </c>
    </row>
    <row r="15" spans="1:21" x14ac:dyDescent="0.25">
      <c r="A15" s="1">
        <v>2003</v>
      </c>
      <c r="B15" s="1">
        <v>134</v>
      </c>
      <c r="C15" s="1">
        <v>79</v>
      </c>
      <c r="D15" s="1">
        <v>102</v>
      </c>
      <c r="E15" s="1">
        <v>1</v>
      </c>
      <c r="F15" s="1">
        <v>0</v>
      </c>
      <c r="G15" s="1">
        <v>7</v>
      </c>
      <c r="H15" s="1">
        <v>10</v>
      </c>
      <c r="I15" s="1">
        <v>9</v>
      </c>
      <c r="J15" s="1">
        <v>17</v>
      </c>
      <c r="K15" s="1">
        <v>4</v>
      </c>
      <c r="L15" s="1">
        <v>5</v>
      </c>
      <c r="M15" s="1">
        <v>14</v>
      </c>
      <c r="N15" s="1">
        <v>7</v>
      </c>
      <c r="O15" s="1">
        <v>2</v>
      </c>
      <c r="P15" s="1">
        <v>23</v>
      </c>
      <c r="Q15" s="1">
        <v>3</v>
      </c>
      <c r="R15" s="1">
        <v>34</v>
      </c>
      <c r="S15" s="1">
        <v>58</v>
      </c>
      <c r="T15" s="1">
        <v>0</v>
      </c>
      <c r="U15" s="1">
        <v>6</v>
      </c>
    </row>
    <row r="16" spans="1:21" x14ac:dyDescent="0.25">
      <c r="A16" s="1">
        <v>2004</v>
      </c>
      <c r="B16" s="1">
        <v>134</v>
      </c>
      <c r="C16" s="1">
        <v>89</v>
      </c>
      <c r="D16" s="1">
        <v>106</v>
      </c>
      <c r="E16" s="1">
        <v>1</v>
      </c>
      <c r="F16" s="1">
        <v>0</v>
      </c>
      <c r="G16" s="1">
        <v>8</v>
      </c>
      <c r="H16" s="1">
        <v>13</v>
      </c>
      <c r="I16" s="1">
        <v>11</v>
      </c>
      <c r="J16" s="1">
        <v>22</v>
      </c>
      <c r="K16" s="1">
        <v>11</v>
      </c>
      <c r="L16" s="1">
        <v>6</v>
      </c>
      <c r="M16" s="1">
        <v>17</v>
      </c>
      <c r="N16" s="1">
        <v>8</v>
      </c>
      <c r="O16" s="1">
        <v>3</v>
      </c>
      <c r="P16" s="1">
        <v>26</v>
      </c>
      <c r="Q16" s="1">
        <v>5</v>
      </c>
      <c r="R16" s="1">
        <v>37</v>
      </c>
      <c r="S16" s="1">
        <v>59</v>
      </c>
      <c r="T16" s="1">
        <v>0</v>
      </c>
      <c r="U16" s="1">
        <v>9</v>
      </c>
    </row>
    <row r="17" spans="1:21" x14ac:dyDescent="0.25">
      <c r="A17" s="1">
        <v>2005</v>
      </c>
      <c r="B17" s="1">
        <v>134</v>
      </c>
      <c r="C17" s="1">
        <v>91</v>
      </c>
      <c r="D17" s="1">
        <v>107</v>
      </c>
      <c r="E17" s="1">
        <v>1</v>
      </c>
      <c r="F17" s="1">
        <v>0</v>
      </c>
      <c r="G17" s="1">
        <v>8</v>
      </c>
      <c r="H17" s="1">
        <v>17</v>
      </c>
      <c r="I17" s="1">
        <v>14</v>
      </c>
      <c r="J17" s="1">
        <v>23</v>
      </c>
      <c r="K17" s="1">
        <v>14</v>
      </c>
      <c r="L17" s="1">
        <v>7</v>
      </c>
      <c r="M17" s="1">
        <v>17</v>
      </c>
      <c r="N17" s="1">
        <v>10</v>
      </c>
      <c r="O17" s="1">
        <v>3</v>
      </c>
      <c r="P17" s="1">
        <v>28</v>
      </c>
      <c r="Q17" s="1">
        <v>6</v>
      </c>
      <c r="R17" s="1">
        <v>39</v>
      </c>
      <c r="S17" s="1">
        <v>60</v>
      </c>
      <c r="T17" s="1">
        <v>0</v>
      </c>
      <c r="U17" s="1">
        <v>13</v>
      </c>
    </row>
    <row r="18" spans="1:21" x14ac:dyDescent="0.25">
      <c r="A18" s="1">
        <v>2006</v>
      </c>
      <c r="B18" s="1">
        <v>134</v>
      </c>
      <c r="C18" s="1">
        <v>94</v>
      </c>
      <c r="D18" s="1">
        <v>109</v>
      </c>
      <c r="E18" s="1">
        <v>1</v>
      </c>
      <c r="F18" s="1">
        <v>0</v>
      </c>
      <c r="G18" s="1">
        <v>8</v>
      </c>
      <c r="H18" s="1">
        <v>17</v>
      </c>
      <c r="I18" s="1">
        <v>20</v>
      </c>
      <c r="J18" s="1">
        <v>24</v>
      </c>
      <c r="K18" s="1">
        <v>14</v>
      </c>
      <c r="L18" s="1">
        <v>8</v>
      </c>
      <c r="M18" s="1">
        <v>22</v>
      </c>
      <c r="N18" s="1">
        <v>11</v>
      </c>
      <c r="O18" s="1">
        <v>3</v>
      </c>
      <c r="P18" s="1">
        <v>30</v>
      </c>
      <c r="Q18" s="1">
        <v>7</v>
      </c>
      <c r="R18" s="1">
        <v>43</v>
      </c>
      <c r="S18" s="1">
        <v>64</v>
      </c>
      <c r="T18" s="1">
        <v>0</v>
      </c>
      <c r="U18" s="1">
        <v>15</v>
      </c>
    </row>
    <row r="19" spans="1:21" x14ac:dyDescent="0.25">
      <c r="A19" s="1">
        <v>2007</v>
      </c>
      <c r="B19" s="1">
        <v>134</v>
      </c>
      <c r="C19" s="1">
        <v>103</v>
      </c>
      <c r="D19" s="1">
        <v>114</v>
      </c>
      <c r="E19" s="1">
        <v>1</v>
      </c>
      <c r="F19" s="1">
        <v>0</v>
      </c>
      <c r="G19" s="1">
        <v>8</v>
      </c>
      <c r="H19" s="1">
        <v>22</v>
      </c>
      <c r="I19" s="1">
        <v>27</v>
      </c>
      <c r="J19" s="1">
        <v>26</v>
      </c>
      <c r="K19" s="1">
        <v>16</v>
      </c>
      <c r="L19" s="1">
        <v>8</v>
      </c>
      <c r="M19" s="1">
        <v>25</v>
      </c>
      <c r="N19" s="1">
        <v>13</v>
      </c>
      <c r="O19" s="1">
        <v>5</v>
      </c>
      <c r="P19" s="1">
        <v>32</v>
      </c>
      <c r="Q19" s="1">
        <v>8</v>
      </c>
      <c r="R19" s="1">
        <v>47</v>
      </c>
      <c r="S19" s="1">
        <v>67</v>
      </c>
      <c r="T19" s="1">
        <v>0</v>
      </c>
      <c r="U19" s="1">
        <v>16</v>
      </c>
    </row>
    <row r="20" spans="1:21" x14ac:dyDescent="0.25">
      <c r="A20" s="1">
        <v>2008</v>
      </c>
      <c r="B20" s="1">
        <v>134</v>
      </c>
      <c r="C20" s="1">
        <v>106</v>
      </c>
      <c r="D20" s="1">
        <v>116</v>
      </c>
      <c r="E20" s="1">
        <v>2</v>
      </c>
      <c r="F20" s="1">
        <v>1</v>
      </c>
      <c r="G20" s="1">
        <v>10</v>
      </c>
      <c r="H20" s="1">
        <v>24</v>
      </c>
      <c r="I20" s="1">
        <v>34</v>
      </c>
      <c r="J20" s="1">
        <v>30</v>
      </c>
      <c r="K20" s="1">
        <v>18</v>
      </c>
      <c r="L20" s="1">
        <v>9</v>
      </c>
      <c r="M20" s="1">
        <v>29</v>
      </c>
      <c r="N20" s="1">
        <v>13</v>
      </c>
      <c r="O20" s="1">
        <v>5</v>
      </c>
      <c r="P20" s="1">
        <v>36</v>
      </c>
      <c r="Q20" s="1">
        <v>9</v>
      </c>
      <c r="R20" s="1">
        <v>50</v>
      </c>
      <c r="S20" s="1">
        <v>71</v>
      </c>
      <c r="T20" s="1">
        <v>0</v>
      </c>
      <c r="U20" s="1">
        <v>21</v>
      </c>
    </row>
    <row r="21" spans="1:21" x14ac:dyDescent="0.25">
      <c r="A21" s="1">
        <v>2009</v>
      </c>
      <c r="B21" s="1">
        <v>134</v>
      </c>
      <c r="C21" s="1">
        <v>111</v>
      </c>
      <c r="D21" s="1">
        <v>119</v>
      </c>
      <c r="E21" s="1">
        <v>2</v>
      </c>
      <c r="F21" s="1">
        <v>1</v>
      </c>
      <c r="G21" s="1">
        <v>10</v>
      </c>
      <c r="H21" s="1">
        <v>30</v>
      </c>
      <c r="I21" s="1">
        <v>37</v>
      </c>
      <c r="J21" s="1">
        <v>33</v>
      </c>
      <c r="K21" s="1">
        <v>18</v>
      </c>
      <c r="L21" s="1">
        <v>9</v>
      </c>
      <c r="M21" s="1">
        <v>33</v>
      </c>
      <c r="N21" s="1">
        <v>18</v>
      </c>
      <c r="O21" s="1">
        <v>6</v>
      </c>
      <c r="P21" s="1">
        <v>40</v>
      </c>
      <c r="Q21" s="1">
        <v>10</v>
      </c>
      <c r="R21" s="1">
        <v>56</v>
      </c>
      <c r="S21" s="1">
        <v>73</v>
      </c>
      <c r="T21" s="1">
        <v>0</v>
      </c>
      <c r="U21" s="1">
        <v>24</v>
      </c>
    </row>
    <row r="22" spans="1:21" x14ac:dyDescent="0.25">
      <c r="A22" s="1">
        <v>2010</v>
      </c>
      <c r="B22" s="1">
        <v>134</v>
      </c>
      <c r="C22" s="1">
        <v>115</v>
      </c>
      <c r="D22" s="1">
        <v>121</v>
      </c>
      <c r="E22" s="1">
        <v>3</v>
      </c>
      <c r="F22" s="1">
        <v>2</v>
      </c>
      <c r="G22" s="1">
        <v>11</v>
      </c>
      <c r="H22" s="1">
        <v>31</v>
      </c>
      <c r="I22" s="1">
        <v>41</v>
      </c>
      <c r="J22" s="1">
        <v>39</v>
      </c>
      <c r="K22" s="1">
        <v>22</v>
      </c>
      <c r="L22" s="1">
        <v>11</v>
      </c>
      <c r="M22" s="1">
        <v>37</v>
      </c>
      <c r="N22" s="1">
        <v>20</v>
      </c>
      <c r="O22" s="1">
        <v>9</v>
      </c>
      <c r="P22" s="1">
        <v>45</v>
      </c>
      <c r="Q22" s="1">
        <v>12</v>
      </c>
      <c r="R22" s="1">
        <v>58</v>
      </c>
      <c r="S22" s="1">
        <v>73</v>
      </c>
      <c r="T22" s="1">
        <v>0</v>
      </c>
      <c r="U22" s="1">
        <v>27</v>
      </c>
    </row>
    <row r="23" spans="1:21" x14ac:dyDescent="0.25">
      <c r="A23" s="1">
        <v>2011</v>
      </c>
      <c r="B23" s="1">
        <v>134</v>
      </c>
      <c r="C23" s="1">
        <v>125</v>
      </c>
      <c r="D23" s="1">
        <v>130</v>
      </c>
      <c r="E23" s="1">
        <v>3</v>
      </c>
      <c r="F23" s="1">
        <v>3</v>
      </c>
      <c r="G23" s="1">
        <v>11</v>
      </c>
      <c r="H23" s="1">
        <v>32</v>
      </c>
      <c r="I23" s="1">
        <v>43</v>
      </c>
      <c r="J23" s="1">
        <v>41</v>
      </c>
      <c r="K23" s="1">
        <v>25</v>
      </c>
      <c r="L23" s="1">
        <v>12</v>
      </c>
      <c r="M23" s="1">
        <v>41</v>
      </c>
      <c r="N23" s="1">
        <v>22</v>
      </c>
      <c r="O23" s="1">
        <v>12</v>
      </c>
      <c r="P23" s="1">
        <v>46</v>
      </c>
      <c r="Q23" s="1">
        <v>13</v>
      </c>
      <c r="R23" s="1">
        <v>70</v>
      </c>
      <c r="S23" s="1">
        <v>73</v>
      </c>
      <c r="T23" s="1">
        <v>1</v>
      </c>
      <c r="U23" s="1">
        <v>32</v>
      </c>
    </row>
    <row r="24" spans="1:21" x14ac:dyDescent="0.25">
      <c r="A24" s="1">
        <v>2012</v>
      </c>
      <c r="B24" s="1">
        <v>134</v>
      </c>
      <c r="C24" s="1">
        <v>127</v>
      </c>
      <c r="D24" s="1">
        <v>130</v>
      </c>
      <c r="E24" s="1">
        <v>4</v>
      </c>
      <c r="F24" s="1">
        <v>3</v>
      </c>
      <c r="G24" s="1">
        <v>13</v>
      </c>
      <c r="H24" s="1">
        <v>33</v>
      </c>
      <c r="I24" s="1">
        <v>47</v>
      </c>
      <c r="J24" s="1">
        <v>44</v>
      </c>
      <c r="K24" s="1">
        <v>28</v>
      </c>
      <c r="L24" s="1">
        <v>13</v>
      </c>
      <c r="M24" s="1">
        <v>42</v>
      </c>
      <c r="N24" s="1">
        <v>22</v>
      </c>
      <c r="O24" s="1">
        <v>15</v>
      </c>
      <c r="P24" s="1">
        <v>51</v>
      </c>
      <c r="Q24" s="1">
        <v>16</v>
      </c>
      <c r="R24" s="1">
        <v>72</v>
      </c>
      <c r="S24" s="1">
        <v>73</v>
      </c>
      <c r="T24" s="1">
        <v>2</v>
      </c>
      <c r="U24" s="1">
        <v>38</v>
      </c>
    </row>
    <row r="25" spans="1:21" x14ac:dyDescent="0.25">
      <c r="A25" s="1">
        <v>2013</v>
      </c>
      <c r="B25" s="1">
        <v>134</v>
      </c>
      <c r="C25" s="1">
        <v>129</v>
      </c>
      <c r="D25" s="1">
        <v>130</v>
      </c>
      <c r="E25" s="1">
        <v>4</v>
      </c>
      <c r="F25" s="1">
        <v>9</v>
      </c>
      <c r="G25" s="1">
        <v>17</v>
      </c>
      <c r="H25" s="1">
        <v>35</v>
      </c>
      <c r="I25" s="1">
        <v>54</v>
      </c>
      <c r="J25" s="1">
        <v>48</v>
      </c>
      <c r="K25" s="1">
        <v>32</v>
      </c>
      <c r="L25" s="1">
        <v>13</v>
      </c>
      <c r="M25" s="1">
        <v>47</v>
      </c>
      <c r="N25" s="1">
        <v>23</v>
      </c>
      <c r="O25" s="1">
        <v>16</v>
      </c>
      <c r="P25" s="1">
        <v>55</v>
      </c>
      <c r="Q25" s="1">
        <v>16</v>
      </c>
      <c r="R25" s="1">
        <v>73</v>
      </c>
      <c r="S25" s="1">
        <v>73</v>
      </c>
      <c r="T25" s="1">
        <v>5</v>
      </c>
      <c r="U25" s="1">
        <v>45</v>
      </c>
    </row>
    <row r="26" spans="1:21" x14ac:dyDescent="0.25">
      <c r="A26" s="1">
        <v>2014</v>
      </c>
      <c r="B26" s="1">
        <v>134</v>
      </c>
      <c r="C26" s="1">
        <v>132</v>
      </c>
      <c r="D26" s="1">
        <v>132</v>
      </c>
      <c r="E26" s="1">
        <v>5</v>
      </c>
      <c r="F26" s="1">
        <v>25</v>
      </c>
      <c r="G26" s="1">
        <v>22</v>
      </c>
      <c r="H26" s="1">
        <v>37</v>
      </c>
      <c r="I26" s="1">
        <v>60</v>
      </c>
      <c r="J26" s="1">
        <v>53</v>
      </c>
      <c r="K26" s="1">
        <v>37</v>
      </c>
      <c r="L26" s="1">
        <v>14</v>
      </c>
      <c r="M26" s="1">
        <v>50</v>
      </c>
      <c r="N26" s="1">
        <v>24</v>
      </c>
      <c r="O26" s="1">
        <v>16</v>
      </c>
      <c r="P26" s="1">
        <v>57</v>
      </c>
      <c r="Q26" s="1">
        <v>17</v>
      </c>
      <c r="R26" s="1">
        <v>75</v>
      </c>
      <c r="S26" s="1">
        <v>74</v>
      </c>
      <c r="T26" s="1">
        <v>9</v>
      </c>
      <c r="U26" s="1">
        <v>53</v>
      </c>
    </row>
    <row r="27" spans="1:21" x14ac:dyDescent="0.25">
      <c r="A27" s="1">
        <v>2015</v>
      </c>
      <c r="B27" s="1">
        <v>134</v>
      </c>
      <c r="C27" s="1">
        <v>132</v>
      </c>
      <c r="D27" s="1">
        <v>132</v>
      </c>
      <c r="E27" s="1">
        <v>7</v>
      </c>
      <c r="F27" s="1">
        <v>34</v>
      </c>
      <c r="G27" s="1">
        <v>27</v>
      </c>
      <c r="H27" s="1">
        <v>40</v>
      </c>
      <c r="I27" s="1">
        <v>63</v>
      </c>
      <c r="J27" s="1">
        <v>57</v>
      </c>
      <c r="K27" s="1">
        <v>41</v>
      </c>
      <c r="L27" s="1">
        <v>14</v>
      </c>
      <c r="M27" s="1">
        <v>58</v>
      </c>
      <c r="N27" s="1">
        <v>25</v>
      </c>
      <c r="O27" s="1">
        <v>18</v>
      </c>
      <c r="P27" s="1">
        <v>92</v>
      </c>
      <c r="Q27" s="1">
        <v>17</v>
      </c>
      <c r="R27" s="1">
        <v>75</v>
      </c>
      <c r="S27" s="1">
        <v>74</v>
      </c>
      <c r="T27" s="1">
        <v>12</v>
      </c>
      <c r="U27" s="1">
        <v>56</v>
      </c>
    </row>
    <row r="28" spans="1:21" x14ac:dyDescent="0.25">
      <c r="A28" s="1">
        <v>2016</v>
      </c>
      <c r="B28" s="1">
        <v>134</v>
      </c>
      <c r="C28" s="1">
        <v>133</v>
      </c>
      <c r="D28" s="1">
        <v>133</v>
      </c>
      <c r="E28" s="1">
        <v>9</v>
      </c>
      <c r="F28" s="1">
        <v>67</v>
      </c>
      <c r="G28" s="1">
        <v>32</v>
      </c>
      <c r="H28" s="1">
        <v>40</v>
      </c>
      <c r="I28" s="1">
        <v>70</v>
      </c>
      <c r="J28" s="1">
        <v>61</v>
      </c>
      <c r="K28" s="1">
        <v>43</v>
      </c>
      <c r="L28" s="1">
        <v>15</v>
      </c>
      <c r="M28" s="1">
        <v>61</v>
      </c>
      <c r="N28" s="1">
        <v>26</v>
      </c>
      <c r="O28" s="1">
        <v>21</v>
      </c>
      <c r="P28" s="1">
        <v>96</v>
      </c>
      <c r="Q28" s="1">
        <v>18</v>
      </c>
      <c r="R28" s="1">
        <v>77</v>
      </c>
      <c r="S28" s="1">
        <v>74</v>
      </c>
      <c r="T28" s="1">
        <v>43</v>
      </c>
      <c r="U28" s="1">
        <v>58</v>
      </c>
    </row>
    <row r="29" spans="1:21" x14ac:dyDescent="0.25">
      <c r="A29" s="1">
        <v>2017</v>
      </c>
      <c r="B29" s="1">
        <v>134</v>
      </c>
      <c r="C29" s="1">
        <v>133</v>
      </c>
      <c r="D29" s="1">
        <v>133</v>
      </c>
      <c r="E29" s="1">
        <v>13</v>
      </c>
      <c r="F29" s="1">
        <v>75</v>
      </c>
      <c r="G29" s="1">
        <v>35</v>
      </c>
      <c r="H29" s="1">
        <v>43</v>
      </c>
      <c r="I29" s="1">
        <v>72</v>
      </c>
      <c r="J29" s="1">
        <v>61</v>
      </c>
      <c r="K29" s="1">
        <v>44</v>
      </c>
      <c r="L29" s="1">
        <v>16</v>
      </c>
      <c r="M29" s="1">
        <v>64</v>
      </c>
      <c r="N29" s="1">
        <v>29</v>
      </c>
      <c r="O29" s="1">
        <v>21</v>
      </c>
      <c r="P29" s="1">
        <v>98</v>
      </c>
      <c r="Q29" s="1">
        <v>19</v>
      </c>
      <c r="R29" s="1">
        <v>77</v>
      </c>
      <c r="S29" s="1">
        <v>75</v>
      </c>
      <c r="T29" s="1">
        <v>55</v>
      </c>
      <c r="U29" s="1">
        <v>59</v>
      </c>
    </row>
    <row r="30" spans="1:21" x14ac:dyDescent="0.25">
      <c r="A30" s="1">
        <v>2018</v>
      </c>
      <c r="B30" s="1">
        <v>134</v>
      </c>
      <c r="C30" s="1">
        <v>133</v>
      </c>
      <c r="D30" s="1">
        <v>133</v>
      </c>
      <c r="E30" s="1">
        <v>16</v>
      </c>
      <c r="F30" s="1">
        <v>86</v>
      </c>
      <c r="G30" s="1">
        <v>53</v>
      </c>
      <c r="H30" s="1">
        <v>78</v>
      </c>
      <c r="I30" s="1">
        <v>79</v>
      </c>
      <c r="J30" s="1">
        <v>63</v>
      </c>
      <c r="K30" s="1">
        <v>50</v>
      </c>
      <c r="L30" s="1">
        <v>17</v>
      </c>
      <c r="M30" s="1">
        <v>73</v>
      </c>
      <c r="N30" s="1">
        <v>29</v>
      </c>
      <c r="O30" s="1">
        <v>22</v>
      </c>
      <c r="P30" s="1">
        <v>107</v>
      </c>
      <c r="Q30" s="1">
        <v>20</v>
      </c>
      <c r="R30" s="1">
        <v>78</v>
      </c>
      <c r="S30" s="1">
        <v>76</v>
      </c>
      <c r="T30" s="1">
        <v>63</v>
      </c>
      <c r="U30" s="1">
        <v>63</v>
      </c>
    </row>
    <row r="31" spans="1:21" x14ac:dyDescent="0.25">
      <c r="A31" s="1">
        <v>2019</v>
      </c>
      <c r="B31" s="1">
        <v>134</v>
      </c>
      <c r="C31" s="1">
        <v>133</v>
      </c>
      <c r="D31" s="1">
        <v>133</v>
      </c>
      <c r="E31" s="1">
        <v>20</v>
      </c>
      <c r="F31" s="1">
        <v>90</v>
      </c>
      <c r="G31" s="1">
        <v>55</v>
      </c>
      <c r="H31" s="1">
        <v>79</v>
      </c>
      <c r="I31" s="1">
        <v>79</v>
      </c>
      <c r="J31" s="1">
        <v>65</v>
      </c>
      <c r="K31" s="1">
        <v>54</v>
      </c>
      <c r="L31" s="1">
        <v>17</v>
      </c>
      <c r="M31" s="1">
        <v>77</v>
      </c>
      <c r="N31" s="1">
        <v>29</v>
      </c>
      <c r="O31" s="1">
        <v>22</v>
      </c>
      <c r="P31" s="1">
        <v>107</v>
      </c>
      <c r="Q31" s="1">
        <v>20</v>
      </c>
      <c r="R31" s="1">
        <v>78</v>
      </c>
      <c r="S31" s="1">
        <v>77</v>
      </c>
      <c r="T31" s="1">
        <v>70</v>
      </c>
      <c r="U31" s="1">
        <v>64</v>
      </c>
    </row>
    <row r="32" spans="1:21" x14ac:dyDescent="0.25">
      <c r="A32" s="1">
        <v>2020</v>
      </c>
      <c r="B32" s="1">
        <v>134</v>
      </c>
      <c r="C32" s="1">
        <v>133</v>
      </c>
      <c r="D32" s="1">
        <v>133</v>
      </c>
      <c r="E32" s="1">
        <v>25</v>
      </c>
      <c r="F32" s="1">
        <v>94</v>
      </c>
      <c r="G32" s="1">
        <v>58</v>
      </c>
      <c r="H32" s="1">
        <v>86</v>
      </c>
      <c r="I32" s="1">
        <v>96</v>
      </c>
      <c r="J32" s="1">
        <v>67</v>
      </c>
      <c r="K32" s="1">
        <v>55</v>
      </c>
      <c r="L32" s="1">
        <v>18</v>
      </c>
      <c r="M32" s="1">
        <v>79</v>
      </c>
      <c r="N32" s="1">
        <v>29</v>
      </c>
      <c r="O32" s="1">
        <v>23</v>
      </c>
      <c r="P32" s="1">
        <v>113</v>
      </c>
      <c r="Q32" s="1">
        <v>20</v>
      </c>
      <c r="R32" s="1">
        <v>79</v>
      </c>
      <c r="S32" s="1">
        <v>84</v>
      </c>
      <c r="T32" s="1">
        <v>82</v>
      </c>
      <c r="U32" s="1">
        <v>78</v>
      </c>
    </row>
    <row r="33" spans="1:21" x14ac:dyDescent="0.25">
      <c r="A33" s="1">
        <v>2021</v>
      </c>
      <c r="B33" s="1">
        <v>134</v>
      </c>
      <c r="C33" s="1">
        <v>133</v>
      </c>
      <c r="D33" s="1">
        <v>134</v>
      </c>
      <c r="E33" s="1">
        <v>25</v>
      </c>
      <c r="F33" s="1">
        <v>98</v>
      </c>
      <c r="G33" s="1">
        <v>81</v>
      </c>
      <c r="H33" s="1">
        <v>86</v>
      </c>
      <c r="I33" s="1">
        <v>97</v>
      </c>
      <c r="J33" s="1">
        <v>67</v>
      </c>
      <c r="K33" s="1">
        <v>55</v>
      </c>
      <c r="L33" s="1">
        <v>18</v>
      </c>
      <c r="M33" s="1">
        <v>79</v>
      </c>
      <c r="N33" s="1">
        <v>29</v>
      </c>
      <c r="O33" s="1">
        <v>24</v>
      </c>
      <c r="P33" s="1">
        <v>113</v>
      </c>
      <c r="Q33" s="1">
        <v>20</v>
      </c>
      <c r="R33" s="1">
        <v>79</v>
      </c>
      <c r="S33" s="1">
        <v>85</v>
      </c>
      <c r="T33" s="1">
        <v>88</v>
      </c>
      <c r="U33" s="1">
        <v>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>
    <tabColor rgb="FFFFC000"/>
  </sheetPr>
  <dimension ref="A1:T3"/>
  <sheetViews>
    <sheetView zoomScale="80" zoomScaleNormal="8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2" sqref="C2"/>
    </sheetView>
  </sheetViews>
  <sheetFormatPr defaultRowHeight="15" x14ac:dyDescent="0.25"/>
  <sheetData>
    <row r="1" spans="1:20" x14ac:dyDescent="0.25">
      <c r="A1" t="s">
        <v>138</v>
      </c>
      <c r="B1" t="s">
        <v>139</v>
      </c>
      <c r="C1" t="s">
        <v>140</v>
      </c>
      <c r="D1" t="s">
        <v>141</v>
      </c>
      <c r="E1" t="s">
        <v>142</v>
      </c>
      <c r="F1" t="s">
        <v>143</v>
      </c>
      <c r="G1" t="s">
        <v>144</v>
      </c>
      <c r="H1" t="s">
        <v>145</v>
      </c>
      <c r="I1" t="s">
        <v>146</v>
      </c>
      <c r="J1" t="s">
        <v>147</v>
      </c>
      <c r="K1" t="s">
        <v>148</v>
      </c>
      <c r="L1" t="s">
        <v>149</v>
      </c>
      <c r="M1" t="s">
        <v>150</v>
      </c>
      <c r="N1" t="s">
        <v>151</v>
      </c>
      <c r="O1" t="s">
        <v>152</v>
      </c>
      <c r="P1" t="s">
        <v>153</v>
      </c>
      <c r="Q1" t="s">
        <v>154</v>
      </c>
      <c r="R1" t="s">
        <v>155</v>
      </c>
      <c r="S1" t="s">
        <v>156</v>
      </c>
      <c r="T1" t="s">
        <v>157</v>
      </c>
    </row>
    <row r="2" spans="1:20" x14ac:dyDescent="0.25">
      <c r="A2" s="1">
        <v>0</v>
      </c>
      <c r="B2" s="1">
        <v>98</v>
      </c>
      <c r="C2" s="1">
        <v>9.548611007630825E-3</v>
      </c>
      <c r="D2" s="1">
        <v>0.18189965188503265</v>
      </c>
      <c r="E2" s="1">
        <v>5.2721086889505386E-2</v>
      </c>
      <c r="F2" s="1">
        <v>8.3333335816860199E-2</v>
      </c>
      <c r="G2" s="1">
        <v>0.14776632189750671</v>
      </c>
      <c r="H2" s="1">
        <v>9.1065295040607452E-2</v>
      </c>
      <c r="I2" s="1">
        <v>4.4673539698123932E-2</v>
      </c>
      <c r="J2" s="1">
        <v>1.2280702590942383E-2</v>
      </c>
      <c r="K2" s="1">
        <v>0.10614035278558731</v>
      </c>
      <c r="L2" s="1">
        <v>1.8041238188743591E-2</v>
      </c>
      <c r="M2" s="1">
        <v>2.34375E-2</v>
      </c>
      <c r="N2" s="1">
        <v>0.27721089124679565</v>
      </c>
      <c r="O2" s="1">
        <v>2.1477663889527321E-2</v>
      </c>
      <c r="P2" s="1">
        <v>7.9896911978721619E-2</v>
      </c>
      <c r="Q2" s="1">
        <v>0.21768707036972046</v>
      </c>
      <c r="R2" s="1">
        <v>0.10223367810249329</v>
      </c>
      <c r="S2" s="1">
        <v>7.98611119389534E-2</v>
      </c>
      <c r="T2" s="1">
        <v>1.0850340127944946</v>
      </c>
    </row>
    <row r="3" spans="1:20" x14ac:dyDescent="0.25">
      <c r="A3" s="1">
        <v>1</v>
      </c>
      <c r="B3" s="1">
        <v>36</v>
      </c>
      <c r="C3" s="1">
        <v>0.13657408952713013</v>
      </c>
      <c r="D3" s="1">
        <v>0.29629629850387573</v>
      </c>
      <c r="E3" s="1">
        <v>0.10185185819864273</v>
      </c>
      <c r="F3" s="1">
        <v>0.19907405972480774</v>
      </c>
      <c r="G3" s="1">
        <v>0.25</v>
      </c>
      <c r="H3" s="1">
        <v>0.21990740299224854</v>
      </c>
      <c r="I3" s="1">
        <v>0.16203704476356506</v>
      </c>
      <c r="J3" s="1">
        <v>6.9444444961845875E-3</v>
      </c>
      <c r="K3" s="1">
        <v>0.1388888955116272</v>
      </c>
      <c r="L3" s="1">
        <v>1.3888888992369175E-2</v>
      </c>
      <c r="M3" s="1">
        <v>8.5648149251937866E-2</v>
      </c>
      <c r="N3" s="1">
        <v>0.45601853728294373</v>
      </c>
      <c r="O3" s="1">
        <v>1.8518518656492233E-2</v>
      </c>
      <c r="P3" s="1">
        <v>1.1574074625968933E-2</v>
      </c>
      <c r="Q3" s="1">
        <v>4.6296298503875732E-2</v>
      </c>
      <c r="R3" s="1">
        <v>0.32870370149612427</v>
      </c>
      <c r="S3" s="1">
        <v>0.3333333432674408</v>
      </c>
      <c r="T3" s="1">
        <v>1.7152779102325439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0">
    <tabColor rgb="FFFFC000"/>
  </sheetPr>
  <dimension ref="A1:S2"/>
  <sheetViews>
    <sheetView zoomScale="80" zoomScaleNormal="8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sheetData>
    <row r="1" spans="1:19" x14ac:dyDescent="0.25">
      <c r="A1" t="s">
        <v>119</v>
      </c>
      <c r="B1" t="s">
        <v>120</v>
      </c>
      <c r="C1" t="s">
        <v>121</v>
      </c>
      <c r="D1" t="s">
        <v>122</v>
      </c>
      <c r="E1" t="s">
        <v>123</v>
      </c>
      <c r="F1" t="s">
        <v>124</v>
      </c>
      <c r="G1" t="s">
        <v>125</v>
      </c>
      <c r="H1" t="s">
        <v>126</v>
      </c>
      <c r="I1" t="s">
        <v>127</v>
      </c>
      <c r="J1" t="s">
        <v>128</v>
      </c>
      <c r="K1" t="s">
        <v>129</v>
      </c>
      <c r="L1" t="s">
        <v>130</v>
      </c>
      <c r="M1" t="s">
        <v>131</v>
      </c>
      <c r="N1" t="s">
        <v>132</v>
      </c>
      <c r="O1" t="s">
        <v>133</v>
      </c>
      <c r="P1" t="s">
        <v>134</v>
      </c>
      <c r="Q1" t="s">
        <v>135</v>
      </c>
      <c r="R1" t="s">
        <v>136</v>
      </c>
      <c r="S1" t="s">
        <v>137</v>
      </c>
    </row>
    <row r="2" spans="1:19" x14ac:dyDescent="0.25">
      <c r="A2" s="1">
        <v>134</v>
      </c>
      <c r="B2" s="1">
        <v>4.4191919267177582E-2</v>
      </c>
      <c r="C2" s="1">
        <v>0.21382430195808411</v>
      </c>
      <c r="D2" s="1">
        <v>6.5920397639274597E-2</v>
      </c>
      <c r="E2" s="1">
        <v>0.11466164886951447</v>
      </c>
      <c r="F2" s="1">
        <v>0.17543859779834747</v>
      </c>
      <c r="G2" s="1">
        <v>0.12593984603881836</v>
      </c>
      <c r="H2" s="1">
        <v>7.6441101729869843E-2</v>
      </c>
      <c r="I2" s="1">
        <v>1.0814249515533447E-2</v>
      </c>
      <c r="J2" s="1">
        <v>0.11513994634151459</v>
      </c>
      <c r="K2" s="1">
        <v>1.6917292028665543E-2</v>
      </c>
      <c r="L2" s="1">
        <v>4.0404044091701508E-2</v>
      </c>
      <c r="M2" s="1">
        <v>0.32524874806404114</v>
      </c>
      <c r="N2" s="1">
        <v>2.0676692947745323E-2</v>
      </c>
      <c r="O2" s="1">
        <v>6.1403509229421616E-2</v>
      </c>
      <c r="P2" s="1">
        <v>0.17164179682731628</v>
      </c>
      <c r="Q2" s="1">
        <v>0.16353383660316467</v>
      </c>
      <c r="R2" s="1">
        <v>0.14898990094661713</v>
      </c>
      <c r="S2" s="1">
        <v>1.2543531656265259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31A5B-7D1A-4370-BE72-4167C754BC21}">
  <sheetPr codeName="Sheet13">
    <tabColor rgb="FFFFC000"/>
  </sheetPr>
  <dimension ref="A1:C129"/>
  <sheetViews>
    <sheetView zoomScale="80" zoomScaleNormal="80" workbookViewId="0">
      <pane xSplit="1" ySplit="1" topLeftCell="B112" activePane="bottomRight" state="frozen"/>
      <selection pane="topRight" activeCell="B1" sqref="B1"/>
      <selection pane="bottomLeft" activeCell="A2" sqref="A2"/>
      <selection pane="bottomRight" activeCell="C121" sqref="C121"/>
    </sheetView>
  </sheetViews>
  <sheetFormatPr defaultColWidth="9.140625" defaultRowHeight="15" x14ac:dyDescent="0.25"/>
  <cols>
    <col min="1" max="1" width="9.7109375" style="14" bestFit="1" customWidth="1"/>
    <col min="2" max="16384" width="9.140625" style="14"/>
  </cols>
  <sheetData>
    <row r="1" spans="1:3" x14ac:dyDescent="0.25">
      <c r="A1" s="14" t="s">
        <v>158</v>
      </c>
      <c r="B1" s="14" t="s">
        <v>159</v>
      </c>
      <c r="C1" s="14" t="s">
        <v>160</v>
      </c>
    </row>
    <row r="2" spans="1:3" x14ac:dyDescent="0.25">
      <c r="A2" s="22">
        <v>32874</v>
      </c>
      <c r="B2" s="1">
        <v>0</v>
      </c>
      <c r="C2" s="1">
        <v>0</v>
      </c>
    </row>
    <row r="3" spans="1:3" x14ac:dyDescent="0.25">
      <c r="A3" s="22">
        <v>32964</v>
      </c>
      <c r="B3" s="1">
        <v>0</v>
      </c>
      <c r="C3" s="1">
        <v>0</v>
      </c>
    </row>
    <row r="4" spans="1:3" x14ac:dyDescent="0.25">
      <c r="A4" s="22">
        <v>33055</v>
      </c>
      <c r="B4" s="1">
        <v>0</v>
      </c>
      <c r="C4" s="1">
        <v>0</v>
      </c>
    </row>
    <row r="5" spans="1:3" x14ac:dyDescent="0.25">
      <c r="A5" s="22">
        <v>33147</v>
      </c>
      <c r="B5" s="1">
        <v>0</v>
      </c>
      <c r="C5" s="1">
        <v>12</v>
      </c>
    </row>
    <row r="6" spans="1:3" x14ac:dyDescent="0.25">
      <c r="A6" s="22">
        <v>33239</v>
      </c>
      <c r="B6" s="1">
        <v>-3</v>
      </c>
      <c r="C6" s="1">
        <v>8</v>
      </c>
    </row>
    <row r="7" spans="1:3" x14ac:dyDescent="0.25">
      <c r="A7" s="22">
        <v>33329</v>
      </c>
      <c r="B7" s="1">
        <v>-2</v>
      </c>
      <c r="C7" s="1">
        <v>8</v>
      </c>
    </row>
    <row r="8" spans="1:3" x14ac:dyDescent="0.25">
      <c r="A8" s="22">
        <v>33420</v>
      </c>
      <c r="B8" s="1">
        <v>-2</v>
      </c>
      <c r="C8" s="1">
        <v>8</v>
      </c>
    </row>
    <row r="9" spans="1:3" x14ac:dyDescent="0.25">
      <c r="A9" s="22">
        <v>33512</v>
      </c>
      <c r="B9" s="1">
        <v>-3</v>
      </c>
      <c r="C9" s="1">
        <v>4</v>
      </c>
    </row>
    <row r="10" spans="1:3" x14ac:dyDescent="0.25">
      <c r="A10" s="22">
        <v>33604</v>
      </c>
      <c r="B10" s="1">
        <v>-4</v>
      </c>
      <c r="C10" s="1">
        <v>9</v>
      </c>
    </row>
    <row r="11" spans="1:3" x14ac:dyDescent="0.25">
      <c r="A11" s="22">
        <v>33695</v>
      </c>
      <c r="B11" s="1">
        <v>-8</v>
      </c>
      <c r="C11" s="1">
        <v>9</v>
      </c>
    </row>
    <row r="12" spans="1:3" x14ac:dyDescent="0.25">
      <c r="A12" s="22">
        <v>33786</v>
      </c>
      <c r="B12" s="1">
        <v>-8</v>
      </c>
      <c r="C12" s="1">
        <v>10</v>
      </c>
    </row>
    <row r="13" spans="1:3" x14ac:dyDescent="0.25">
      <c r="A13" s="22">
        <v>33878</v>
      </c>
      <c r="B13" s="1">
        <v>-6</v>
      </c>
      <c r="C13" s="1">
        <v>10</v>
      </c>
    </row>
    <row r="14" spans="1:3" x14ac:dyDescent="0.25">
      <c r="A14" s="22">
        <v>33970</v>
      </c>
      <c r="B14" s="1">
        <v>-5</v>
      </c>
      <c r="C14" s="1">
        <v>5</v>
      </c>
    </row>
    <row r="15" spans="1:3" x14ac:dyDescent="0.25">
      <c r="A15" s="22">
        <v>34060</v>
      </c>
      <c r="B15" s="1">
        <v>-3</v>
      </c>
      <c r="C15" s="1">
        <v>2</v>
      </c>
    </row>
    <row r="16" spans="1:3" x14ac:dyDescent="0.25">
      <c r="A16" s="22">
        <v>34151</v>
      </c>
      <c r="B16" s="1">
        <v>-4</v>
      </c>
      <c r="C16" s="1">
        <v>0</v>
      </c>
    </row>
    <row r="17" spans="1:3" x14ac:dyDescent="0.25">
      <c r="A17" s="22">
        <v>34243</v>
      </c>
      <c r="B17" s="1">
        <v>-5</v>
      </c>
      <c r="C17" s="1">
        <v>3</v>
      </c>
    </row>
    <row r="18" spans="1:3" x14ac:dyDescent="0.25">
      <c r="A18" s="22">
        <v>34335</v>
      </c>
      <c r="B18" s="1">
        <v>-4</v>
      </c>
      <c r="C18" s="1">
        <v>9</v>
      </c>
    </row>
    <row r="19" spans="1:3" x14ac:dyDescent="0.25">
      <c r="A19" s="22">
        <v>34425</v>
      </c>
      <c r="B19" s="1">
        <v>-5</v>
      </c>
      <c r="C19" s="1">
        <v>13</v>
      </c>
    </row>
    <row r="20" spans="1:3" x14ac:dyDescent="0.25">
      <c r="A20" s="22">
        <v>34516</v>
      </c>
      <c r="B20" s="1">
        <v>-3</v>
      </c>
      <c r="C20" s="1">
        <v>17</v>
      </c>
    </row>
    <row r="21" spans="1:3" x14ac:dyDescent="0.25">
      <c r="A21" s="22">
        <v>34608</v>
      </c>
      <c r="B21" s="1">
        <v>-2</v>
      </c>
      <c r="C21" s="1">
        <v>13</v>
      </c>
    </row>
    <row r="22" spans="1:3" x14ac:dyDescent="0.25">
      <c r="A22" s="22">
        <v>34700</v>
      </c>
      <c r="B22" s="1">
        <v>-1</v>
      </c>
      <c r="C22" s="1">
        <v>8</v>
      </c>
    </row>
    <row r="23" spans="1:3" x14ac:dyDescent="0.25">
      <c r="A23" s="22">
        <v>34790</v>
      </c>
      <c r="B23" s="1">
        <v>1</v>
      </c>
      <c r="C23" s="1">
        <v>6</v>
      </c>
    </row>
    <row r="24" spans="1:3" x14ac:dyDescent="0.25">
      <c r="A24" s="22">
        <v>34881</v>
      </c>
      <c r="B24" s="1">
        <v>0</v>
      </c>
      <c r="C24" s="1">
        <v>1</v>
      </c>
    </row>
    <row r="25" spans="1:3" x14ac:dyDescent="0.25">
      <c r="A25" s="22">
        <v>34973</v>
      </c>
      <c r="B25" s="1">
        <v>1</v>
      </c>
      <c r="C25" s="1">
        <v>6</v>
      </c>
    </row>
    <row r="26" spans="1:3" x14ac:dyDescent="0.25">
      <c r="A26" s="22">
        <v>35065</v>
      </c>
      <c r="B26" s="1">
        <v>0</v>
      </c>
      <c r="C26" s="1">
        <v>15</v>
      </c>
    </row>
    <row r="27" spans="1:3" x14ac:dyDescent="0.25">
      <c r="A27" s="22">
        <v>35156</v>
      </c>
      <c r="B27" s="1">
        <v>1</v>
      </c>
      <c r="C27" s="1">
        <v>18</v>
      </c>
    </row>
    <row r="28" spans="1:3" x14ac:dyDescent="0.25">
      <c r="A28" s="22">
        <v>35247</v>
      </c>
      <c r="B28" s="1">
        <v>4</v>
      </c>
      <c r="C28" s="1">
        <v>19</v>
      </c>
    </row>
    <row r="29" spans="1:3" x14ac:dyDescent="0.25">
      <c r="A29" s="22">
        <v>35339</v>
      </c>
      <c r="B29" s="1">
        <v>3</v>
      </c>
      <c r="C29" s="1">
        <v>12</v>
      </c>
    </row>
    <row r="30" spans="1:3" x14ac:dyDescent="0.25">
      <c r="A30" s="22">
        <v>35431</v>
      </c>
      <c r="B30" s="1">
        <v>2</v>
      </c>
      <c r="C30" s="1">
        <v>6</v>
      </c>
    </row>
    <row r="31" spans="1:3" x14ac:dyDescent="0.25">
      <c r="A31" s="22">
        <v>35521</v>
      </c>
      <c r="B31" s="1">
        <v>0</v>
      </c>
      <c r="C31" s="1">
        <v>5</v>
      </c>
    </row>
    <row r="32" spans="1:3" x14ac:dyDescent="0.25">
      <c r="A32" s="22">
        <v>35612</v>
      </c>
      <c r="B32" s="1">
        <v>0</v>
      </c>
      <c r="C32" s="1">
        <v>5</v>
      </c>
    </row>
    <row r="33" spans="1:3" x14ac:dyDescent="0.25">
      <c r="A33" s="22">
        <v>35704</v>
      </c>
      <c r="B33" s="1">
        <v>6</v>
      </c>
      <c r="C33" s="1">
        <v>8</v>
      </c>
    </row>
    <row r="34" spans="1:3" x14ac:dyDescent="0.25">
      <c r="A34" s="22">
        <v>35796</v>
      </c>
      <c r="B34" s="1">
        <v>8</v>
      </c>
      <c r="C34" s="1">
        <v>4</v>
      </c>
    </row>
    <row r="35" spans="1:3" x14ac:dyDescent="0.25">
      <c r="A35" s="22">
        <v>35886</v>
      </c>
      <c r="B35" s="1">
        <v>8</v>
      </c>
      <c r="C35" s="1">
        <v>2</v>
      </c>
    </row>
    <row r="36" spans="1:3" x14ac:dyDescent="0.25">
      <c r="A36" s="22">
        <v>35977</v>
      </c>
      <c r="B36" s="1">
        <v>6</v>
      </c>
      <c r="C36" s="1">
        <v>-1</v>
      </c>
    </row>
    <row r="37" spans="1:3" x14ac:dyDescent="0.25">
      <c r="A37" s="22">
        <v>36069</v>
      </c>
      <c r="B37" s="1">
        <v>3</v>
      </c>
      <c r="C37" s="1">
        <v>-3</v>
      </c>
    </row>
    <row r="38" spans="1:3" x14ac:dyDescent="0.25">
      <c r="A38" s="22">
        <v>36161</v>
      </c>
      <c r="B38" s="1">
        <v>3</v>
      </c>
      <c r="C38" s="1">
        <v>-3</v>
      </c>
    </row>
    <row r="39" spans="1:3" x14ac:dyDescent="0.25">
      <c r="A39" s="22">
        <v>36251</v>
      </c>
      <c r="B39" s="1">
        <v>5</v>
      </c>
      <c r="C39" s="1">
        <v>-4</v>
      </c>
    </row>
    <row r="40" spans="1:3" x14ac:dyDescent="0.25">
      <c r="A40" s="22">
        <v>36342</v>
      </c>
      <c r="B40" s="1">
        <v>6</v>
      </c>
      <c r="C40" s="1">
        <v>-5</v>
      </c>
    </row>
    <row r="41" spans="1:3" x14ac:dyDescent="0.25">
      <c r="A41" s="22">
        <v>36434</v>
      </c>
      <c r="B41" s="1">
        <v>3</v>
      </c>
      <c r="C41" s="1">
        <v>-2</v>
      </c>
    </row>
    <row r="42" spans="1:3" x14ac:dyDescent="0.25">
      <c r="A42" s="22">
        <v>36526</v>
      </c>
      <c r="B42" s="1">
        <v>-8</v>
      </c>
      <c r="C42" s="1">
        <v>7</v>
      </c>
    </row>
    <row r="43" spans="1:3" x14ac:dyDescent="0.25">
      <c r="A43" s="22">
        <v>36617</v>
      </c>
      <c r="B43" s="1">
        <v>-10</v>
      </c>
      <c r="C43" s="1">
        <v>5</v>
      </c>
    </row>
    <row r="44" spans="1:3" x14ac:dyDescent="0.25">
      <c r="A44" s="22">
        <v>36708</v>
      </c>
      <c r="B44" s="1">
        <v>-11</v>
      </c>
      <c r="C44" s="1">
        <v>12</v>
      </c>
    </row>
    <row r="45" spans="1:3" x14ac:dyDescent="0.25">
      <c r="A45" s="22">
        <v>36800</v>
      </c>
      <c r="B45" s="1">
        <v>-10</v>
      </c>
      <c r="C45" s="1">
        <v>10</v>
      </c>
    </row>
    <row r="46" spans="1:3" x14ac:dyDescent="0.25">
      <c r="A46" s="22">
        <v>36892</v>
      </c>
      <c r="B46" s="1">
        <v>-1</v>
      </c>
      <c r="C46" s="1">
        <v>4</v>
      </c>
    </row>
    <row r="47" spans="1:3" x14ac:dyDescent="0.25">
      <c r="A47" s="22">
        <v>36982</v>
      </c>
      <c r="B47" s="1">
        <v>-1</v>
      </c>
      <c r="C47" s="1">
        <v>11</v>
      </c>
    </row>
    <row r="48" spans="1:3" x14ac:dyDescent="0.25">
      <c r="A48" s="22">
        <v>37073</v>
      </c>
      <c r="B48" s="1">
        <v>-3</v>
      </c>
      <c r="C48" s="1">
        <v>12</v>
      </c>
    </row>
    <row r="49" spans="1:3" x14ac:dyDescent="0.25">
      <c r="A49" s="22">
        <v>37165</v>
      </c>
      <c r="B49" s="1">
        <v>-7</v>
      </c>
      <c r="C49" s="1">
        <v>8</v>
      </c>
    </row>
    <row r="50" spans="1:3" x14ac:dyDescent="0.25">
      <c r="A50" s="22">
        <v>37257</v>
      </c>
      <c r="B50" s="1">
        <v>-9</v>
      </c>
      <c r="C50" s="1">
        <v>8</v>
      </c>
    </row>
    <row r="51" spans="1:3" x14ac:dyDescent="0.25">
      <c r="A51" s="22">
        <v>37347</v>
      </c>
      <c r="B51" s="1">
        <v>-8</v>
      </c>
      <c r="C51" s="1">
        <v>4</v>
      </c>
    </row>
    <row r="52" spans="1:3" x14ac:dyDescent="0.25">
      <c r="A52" s="22">
        <v>37438</v>
      </c>
      <c r="B52" s="1">
        <v>-5</v>
      </c>
      <c r="C52" s="1">
        <v>1</v>
      </c>
    </row>
    <row r="53" spans="1:3" x14ac:dyDescent="0.25">
      <c r="A53" s="22">
        <v>37530</v>
      </c>
      <c r="B53" s="1">
        <v>2</v>
      </c>
      <c r="C53" s="1">
        <v>3</v>
      </c>
    </row>
    <row r="54" spans="1:3" x14ac:dyDescent="0.25">
      <c r="A54" s="22">
        <v>37622</v>
      </c>
      <c r="B54" s="1">
        <v>3</v>
      </c>
      <c r="C54" s="1">
        <v>5</v>
      </c>
    </row>
    <row r="55" spans="1:3" x14ac:dyDescent="0.25">
      <c r="A55" s="22">
        <v>37712</v>
      </c>
      <c r="B55" s="1">
        <v>6</v>
      </c>
      <c r="C55" s="1">
        <v>6</v>
      </c>
    </row>
    <row r="56" spans="1:3" x14ac:dyDescent="0.25">
      <c r="A56" s="22">
        <v>37803</v>
      </c>
      <c r="B56" s="1">
        <v>4</v>
      </c>
      <c r="C56" s="1">
        <v>7</v>
      </c>
    </row>
    <row r="57" spans="1:3" x14ac:dyDescent="0.25">
      <c r="A57" s="22">
        <v>37895</v>
      </c>
      <c r="B57" s="1">
        <v>3</v>
      </c>
      <c r="C57" s="1">
        <v>13</v>
      </c>
    </row>
    <row r="58" spans="1:3" x14ac:dyDescent="0.25">
      <c r="A58" s="22">
        <v>37987</v>
      </c>
      <c r="B58" s="1">
        <v>4</v>
      </c>
      <c r="C58" s="1">
        <v>23</v>
      </c>
    </row>
    <row r="59" spans="1:3" x14ac:dyDescent="0.25">
      <c r="A59" s="22">
        <v>38078</v>
      </c>
      <c r="B59" s="1">
        <v>1</v>
      </c>
      <c r="C59" s="1">
        <v>22</v>
      </c>
    </row>
    <row r="60" spans="1:3" x14ac:dyDescent="0.25">
      <c r="A60" s="22">
        <v>38169</v>
      </c>
      <c r="B60" s="1">
        <v>3</v>
      </c>
      <c r="C60" s="1">
        <v>33</v>
      </c>
    </row>
    <row r="61" spans="1:3" x14ac:dyDescent="0.25">
      <c r="A61" s="22">
        <v>38261</v>
      </c>
      <c r="B61" s="1">
        <v>1</v>
      </c>
      <c r="C61" s="1">
        <v>44</v>
      </c>
    </row>
    <row r="62" spans="1:3" x14ac:dyDescent="0.25">
      <c r="A62" s="22">
        <v>38353</v>
      </c>
      <c r="B62" s="1">
        <v>-1</v>
      </c>
      <c r="C62" s="1">
        <v>36</v>
      </c>
    </row>
    <row r="63" spans="1:3" x14ac:dyDescent="0.25">
      <c r="A63" s="22">
        <v>38443</v>
      </c>
      <c r="B63" s="1">
        <v>-1</v>
      </c>
      <c r="C63" s="1">
        <v>48</v>
      </c>
    </row>
    <row r="64" spans="1:3" x14ac:dyDescent="0.25">
      <c r="A64" s="22">
        <v>38534</v>
      </c>
      <c r="B64" s="1">
        <v>-1</v>
      </c>
      <c r="C64" s="1">
        <v>40</v>
      </c>
    </row>
    <row r="65" spans="1:3" x14ac:dyDescent="0.25">
      <c r="A65" s="22">
        <v>38626</v>
      </c>
      <c r="B65" s="1">
        <v>1</v>
      </c>
      <c r="C65" s="1">
        <v>35</v>
      </c>
    </row>
    <row r="66" spans="1:3" x14ac:dyDescent="0.25">
      <c r="A66" s="22">
        <v>38718</v>
      </c>
      <c r="B66" s="1">
        <v>4</v>
      </c>
      <c r="C66" s="1">
        <v>42</v>
      </c>
    </row>
    <row r="67" spans="1:3" x14ac:dyDescent="0.25">
      <c r="A67" s="22">
        <v>38808</v>
      </c>
      <c r="B67" s="1">
        <v>8</v>
      </c>
      <c r="C67" s="1">
        <v>40</v>
      </c>
    </row>
    <row r="68" spans="1:3" x14ac:dyDescent="0.25">
      <c r="A68" s="22">
        <v>38899</v>
      </c>
      <c r="B68" s="1">
        <v>7</v>
      </c>
      <c r="C68" s="1">
        <v>44</v>
      </c>
    </row>
    <row r="69" spans="1:3" x14ac:dyDescent="0.25">
      <c r="A69" s="22">
        <v>38991</v>
      </c>
      <c r="B69" s="1">
        <v>9</v>
      </c>
      <c r="C69" s="1">
        <v>41</v>
      </c>
    </row>
    <row r="70" spans="1:3" x14ac:dyDescent="0.25">
      <c r="A70" s="22">
        <v>39083</v>
      </c>
      <c r="B70" s="1">
        <v>13</v>
      </c>
      <c r="C70" s="1">
        <v>40</v>
      </c>
    </row>
    <row r="71" spans="1:3" x14ac:dyDescent="0.25">
      <c r="A71" s="22">
        <v>39173</v>
      </c>
      <c r="B71" s="1">
        <v>11</v>
      </c>
      <c r="C71" s="1">
        <v>37</v>
      </c>
    </row>
    <row r="72" spans="1:3" x14ac:dyDescent="0.25">
      <c r="A72" s="22">
        <v>39264</v>
      </c>
      <c r="B72" s="1">
        <v>16</v>
      </c>
      <c r="C72" s="1">
        <v>41</v>
      </c>
    </row>
    <row r="73" spans="1:3" x14ac:dyDescent="0.25">
      <c r="A73" s="22">
        <v>39356</v>
      </c>
      <c r="B73" s="1">
        <v>12</v>
      </c>
      <c r="C73" s="1">
        <v>42</v>
      </c>
    </row>
    <row r="74" spans="1:3" x14ac:dyDescent="0.25">
      <c r="A74" s="22">
        <v>39448</v>
      </c>
      <c r="B74" s="1">
        <v>5</v>
      </c>
      <c r="C74" s="1">
        <v>54</v>
      </c>
    </row>
    <row r="75" spans="1:3" x14ac:dyDescent="0.25">
      <c r="A75" s="22">
        <v>39539</v>
      </c>
      <c r="B75" s="1">
        <v>2</v>
      </c>
      <c r="C75" s="1">
        <v>65</v>
      </c>
    </row>
    <row r="76" spans="1:3" x14ac:dyDescent="0.25">
      <c r="A76" s="22">
        <v>39630</v>
      </c>
      <c r="B76" s="1">
        <v>-5</v>
      </c>
      <c r="C76" s="1">
        <v>66</v>
      </c>
    </row>
    <row r="77" spans="1:3" x14ac:dyDescent="0.25">
      <c r="A77" s="22">
        <v>39722</v>
      </c>
      <c r="B77" s="1">
        <v>-12</v>
      </c>
      <c r="C77" s="1">
        <v>42</v>
      </c>
    </row>
    <row r="78" spans="1:3" x14ac:dyDescent="0.25">
      <c r="A78" s="22">
        <v>39814</v>
      </c>
      <c r="B78" s="1">
        <v>-8</v>
      </c>
      <c r="C78" s="1">
        <v>13</v>
      </c>
    </row>
    <row r="79" spans="1:3" x14ac:dyDescent="0.25">
      <c r="A79" s="22">
        <v>39904</v>
      </c>
      <c r="B79" s="1">
        <v>-7</v>
      </c>
      <c r="C79" s="1">
        <v>-9</v>
      </c>
    </row>
    <row r="80" spans="1:3" x14ac:dyDescent="0.25">
      <c r="A80" s="22">
        <v>39995</v>
      </c>
      <c r="B80" s="1">
        <v>-4</v>
      </c>
      <c r="C80" s="1">
        <v>-26</v>
      </c>
    </row>
    <row r="81" spans="1:3" x14ac:dyDescent="0.25">
      <c r="A81" s="22">
        <v>40087</v>
      </c>
      <c r="B81" s="1">
        <v>4</v>
      </c>
      <c r="C81" s="1">
        <v>-6</v>
      </c>
    </row>
    <row r="82" spans="1:3" x14ac:dyDescent="0.25">
      <c r="A82" s="22">
        <v>40179</v>
      </c>
      <c r="B82" s="1">
        <v>11</v>
      </c>
      <c r="C82" s="1">
        <v>17</v>
      </c>
    </row>
    <row r="83" spans="1:3" x14ac:dyDescent="0.25">
      <c r="A83" s="22">
        <v>40269</v>
      </c>
      <c r="B83" s="1">
        <v>18</v>
      </c>
      <c r="C83" s="1">
        <v>37</v>
      </c>
    </row>
    <row r="84" spans="1:3" x14ac:dyDescent="0.25">
      <c r="A84" s="22">
        <v>40360</v>
      </c>
      <c r="B84" s="1">
        <v>18</v>
      </c>
      <c r="C84" s="1">
        <v>60</v>
      </c>
    </row>
    <row r="85" spans="1:3" x14ac:dyDescent="0.25">
      <c r="A85" s="22">
        <v>40452</v>
      </c>
      <c r="B85" s="1">
        <v>23</v>
      </c>
      <c r="C85" s="1">
        <v>76</v>
      </c>
    </row>
    <row r="86" spans="1:3" x14ac:dyDescent="0.25">
      <c r="A86" s="22">
        <v>40544</v>
      </c>
      <c r="B86" s="1">
        <v>25</v>
      </c>
      <c r="C86" s="1">
        <v>96</v>
      </c>
    </row>
    <row r="87" spans="1:3" x14ac:dyDescent="0.25">
      <c r="A87" s="22">
        <v>40634</v>
      </c>
      <c r="B87" s="1">
        <v>22</v>
      </c>
      <c r="C87" s="1">
        <v>96</v>
      </c>
    </row>
    <row r="88" spans="1:3" x14ac:dyDescent="0.25">
      <c r="A88" s="22">
        <v>40725</v>
      </c>
      <c r="B88" s="1">
        <v>27</v>
      </c>
      <c r="C88" s="1">
        <v>86</v>
      </c>
    </row>
    <row r="89" spans="1:3" x14ac:dyDescent="0.25">
      <c r="A89" s="22">
        <v>40817</v>
      </c>
      <c r="B89" s="1">
        <v>28</v>
      </c>
      <c r="C89" s="1">
        <v>84</v>
      </c>
    </row>
    <row r="90" spans="1:3" x14ac:dyDescent="0.25">
      <c r="A90" s="22">
        <v>40909</v>
      </c>
      <c r="B90" s="1">
        <v>8</v>
      </c>
      <c r="C90" s="1">
        <v>55</v>
      </c>
    </row>
    <row r="91" spans="1:3" x14ac:dyDescent="0.25">
      <c r="A91" s="22">
        <v>41000</v>
      </c>
      <c r="B91" s="1">
        <v>4</v>
      </c>
      <c r="C91" s="1">
        <v>49</v>
      </c>
    </row>
    <row r="92" spans="1:3" x14ac:dyDescent="0.25">
      <c r="A92" s="22">
        <v>41091</v>
      </c>
      <c r="B92" s="1">
        <v>5</v>
      </c>
      <c r="C92" s="1">
        <v>47</v>
      </c>
    </row>
    <row r="93" spans="1:3" x14ac:dyDescent="0.25">
      <c r="A93" s="22">
        <v>41183</v>
      </c>
      <c r="B93" s="1">
        <v>5</v>
      </c>
      <c r="C93" s="1">
        <v>35</v>
      </c>
    </row>
    <row r="94" spans="1:3" x14ac:dyDescent="0.25">
      <c r="A94" s="22">
        <v>41275</v>
      </c>
      <c r="B94" s="1">
        <v>45</v>
      </c>
      <c r="C94" s="1">
        <v>50</v>
      </c>
    </row>
    <row r="95" spans="1:3" x14ac:dyDescent="0.25">
      <c r="A95" s="22">
        <v>41365</v>
      </c>
      <c r="B95" s="1">
        <v>48</v>
      </c>
      <c r="C95" s="1">
        <v>46</v>
      </c>
    </row>
    <row r="96" spans="1:3" x14ac:dyDescent="0.25">
      <c r="A96" s="22">
        <v>41456</v>
      </c>
      <c r="B96" s="1">
        <v>52</v>
      </c>
      <c r="C96" s="1">
        <v>49</v>
      </c>
    </row>
    <row r="97" spans="1:3" x14ac:dyDescent="0.25">
      <c r="A97" s="22">
        <v>41548</v>
      </c>
      <c r="B97" s="1">
        <v>51</v>
      </c>
      <c r="C97" s="1">
        <v>60</v>
      </c>
    </row>
    <row r="98" spans="1:3" x14ac:dyDescent="0.25">
      <c r="A98" s="22">
        <v>41640</v>
      </c>
      <c r="B98" s="1">
        <v>39</v>
      </c>
      <c r="C98" s="1">
        <v>59</v>
      </c>
    </row>
    <row r="99" spans="1:3" x14ac:dyDescent="0.25">
      <c r="A99" s="22">
        <v>41730</v>
      </c>
      <c r="B99" s="1">
        <v>44</v>
      </c>
      <c r="C99" s="1">
        <v>63</v>
      </c>
    </row>
    <row r="100" spans="1:3" x14ac:dyDescent="0.25">
      <c r="A100" s="22">
        <v>41821</v>
      </c>
      <c r="B100" s="1">
        <v>40</v>
      </c>
      <c r="C100" s="1">
        <v>65</v>
      </c>
    </row>
    <row r="101" spans="1:3" x14ac:dyDescent="0.25">
      <c r="A101" s="22">
        <v>41913</v>
      </c>
      <c r="B101" s="1">
        <v>42</v>
      </c>
      <c r="C101" s="1">
        <v>62</v>
      </c>
    </row>
    <row r="102" spans="1:3" x14ac:dyDescent="0.25">
      <c r="A102" s="22">
        <v>42005</v>
      </c>
      <c r="B102" s="1">
        <v>62</v>
      </c>
      <c r="C102" s="1">
        <v>70</v>
      </c>
    </row>
    <row r="103" spans="1:3" x14ac:dyDescent="0.25">
      <c r="A103" s="22">
        <v>42095</v>
      </c>
      <c r="B103" s="1">
        <v>58</v>
      </c>
      <c r="C103" s="1">
        <v>74</v>
      </c>
    </row>
    <row r="104" spans="1:3" x14ac:dyDescent="0.25">
      <c r="A104" s="22">
        <v>42186</v>
      </c>
      <c r="B104" s="1">
        <v>55</v>
      </c>
      <c r="C104" s="1">
        <v>66</v>
      </c>
    </row>
    <row r="105" spans="1:3" x14ac:dyDescent="0.25">
      <c r="A105" s="22">
        <v>42278</v>
      </c>
      <c r="B105" s="1">
        <v>72</v>
      </c>
      <c r="C105" s="1">
        <v>73</v>
      </c>
    </row>
    <row r="106" spans="1:3" x14ac:dyDescent="0.25">
      <c r="A106" s="22">
        <v>42370</v>
      </c>
      <c r="B106" s="1">
        <v>100</v>
      </c>
      <c r="C106" s="1">
        <v>99</v>
      </c>
    </row>
    <row r="107" spans="1:3" x14ac:dyDescent="0.25">
      <c r="A107" s="22">
        <v>42461</v>
      </c>
      <c r="B107" s="1">
        <v>106</v>
      </c>
      <c r="C107" s="1">
        <v>97</v>
      </c>
    </row>
    <row r="108" spans="1:3" x14ac:dyDescent="0.25">
      <c r="A108" s="22">
        <v>42552</v>
      </c>
      <c r="B108" s="1">
        <v>110</v>
      </c>
      <c r="C108" s="1">
        <v>114</v>
      </c>
    </row>
    <row r="109" spans="1:3" x14ac:dyDescent="0.25">
      <c r="A109" s="22">
        <v>42644</v>
      </c>
      <c r="B109" s="1">
        <v>97</v>
      </c>
      <c r="C109" s="1">
        <v>105</v>
      </c>
    </row>
    <row r="110" spans="1:3" x14ac:dyDescent="0.25">
      <c r="A110" s="22">
        <v>42736</v>
      </c>
      <c r="B110" s="1">
        <v>106</v>
      </c>
      <c r="C110" s="1">
        <v>97</v>
      </c>
    </row>
    <row r="111" spans="1:3" x14ac:dyDescent="0.25">
      <c r="A111" s="22">
        <v>42826</v>
      </c>
      <c r="B111" s="1">
        <v>104</v>
      </c>
      <c r="C111" s="1">
        <v>98</v>
      </c>
    </row>
    <row r="112" spans="1:3" x14ac:dyDescent="0.25">
      <c r="A112" s="22">
        <v>42917</v>
      </c>
      <c r="B112" s="1">
        <v>105</v>
      </c>
      <c r="C112" s="1">
        <v>91</v>
      </c>
    </row>
    <row r="113" spans="1:3" x14ac:dyDescent="0.25">
      <c r="A113" s="22">
        <v>43009</v>
      </c>
      <c r="B113" s="1">
        <v>98</v>
      </c>
      <c r="C113" s="1">
        <v>85</v>
      </c>
    </row>
    <row r="114" spans="1:3" x14ac:dyDescent="0.25">
      <c r="A114" s="22">
        <v>43101</v>
      </c>
      <c r="B114" s="1">
        <v>130</v>
      </c>
      <c r="C114" s="1">
        <v>158</v>
      </c>
    </row>
    <row r="115" spans="1:3" x14ac:dyDescent="0.25">
      <c r="A115" s="22">
        <v>43191</v>
      </c>
      <c r="B115" s="1">
        <v>125</v>
      </c>
      <c r="C115" s="1">
        <v>155</v>
      </c>
    </row>
    <row r="116" spans="1:3" x14ac:dyDescent="0.25">
      <c r="A116" s="22">
        <v>43282</v>
      </c>
      <c r="B116" s="1">
        <v>130</v>
      </c>
      <c r="C116" s="1">
        <v>164</v>
      </c>
    </row>
    <row r="117" spans="1:3" x14ac:dyDescent="0.25">
      <c r="A117" s="22">
        <v>43374</v>
      </c>
      <c r="B117" s="1">
        <v>132</v>
      </c>
      <c r="C117" s="1">
        <v>188</v>
      </c>
    </row>
    <row r="118" spans="1:3" x14ac:dyDescent="0.25">
      <c r="A118" s="22">
        <v>43466</v>
      </c>
      <c r="B118" s="1">
        <v>78</v>
      </c>
      <c r="C118" s="1">
        <v>136</v>
      </c>
    </row>
    <row r="119" spans="1:3" x14ac:dyDescent="0.25">
      <c r="A119" s="22">
        <v>43556</v>
      </c>
      <c r="B119" s="1">
        <v>81</v>
      </c>
      <c r="C119" s="1">
        <v>141</v>
      </c>
    </row>
    <row r="120" spans="1:3" x14ac:dyDescent="0.25">
      <c r="A120" s="22">
        <v>43647</v>
      </c>
      <c r="B120" s="1">
        <v>76</v>
      </c>
      <c r="C120" s="1">
        <v>122</v>
      </c>
    </row>
    <row r="121" spans="1:3" x14ac:dyDescent="0.25">
      <c r="A121" s="22">
        <v>43739</v>
      </c>
      <c r="B121" s="1">
        <v>78</v>
      </c>
      <c r="C121" s="1">
        <v>101</v>
      </c>
    </row>
    <row r="122" spans="1:3" x14ac:dyDescent="0.25">
      <c r="A122" s="22">
        <v>43831</v>
      </c>
      <c r="B122" s="1">
        <v>-34</v>
      </c>
      <c r="C122" s="1">
        <v>-8</v>
      </c>
    </row>
    <row r="123" spans="1:3" x14ac:dyDescent="0.25">
      <c r="A123" s="22">
        <v>43922</v>
      </c>
      <c r="B123" s="1">
        <v>-114</v>
      </c>
      <c r="C123" s="1">
        <v>-116</v>
      </c>
    </row>
    <row r="124" spans="1:3" x14ac:dyDescent="0.25">
      <c r="A124" s="22">
        <v>44013</v>
      </c>
      <c r="B124" s="1">
        <v>-108</v>
      </c>
      <c r="C124" s="1">
        <v>-138</v>
      </c>
    </row>
    <row r="125" spans="1:3" x14ac:dyDescent="0.25">
      <c r="A125" s="22">
        <v>44105</v>
      </c>
      <c r="B125" s="1">
        <v>-106</v>
      </c>
      <c r="C125" s="1">
        <v>-146</v>
      </c>
    </row>
    <row r="126" spans="1:3" x14ac:dyDescent="0.25">
      <c r="A126" s="22">
        <v>44197</v>
      </c>
      <c r="B126" s="1">
        <v>-37</v>
      </c>
      <c r="C126" s="1">
        <v>-87</v>
      </c>
    </row>
    <row r="127" spans="1:3" x14ac:dyDescent="0.25">
      <c r="A127" s="22">
        <v>44287</v>
      </c>
      <c r="B127" s="1">
        <v>76</v>
      </c>
      <c r="C127" s="1">
        <v>11</v>
      </c>
    </row>
    <row r="128" spans="1:3" x14ac:dyDescent="0.25">
      <c r="A128" s="22">
        <v>44378</v>
      </c>
      <c r="B128" s="1">
        <v>65</v>
      </c>
      <c r="C128" s="1">
        <v>38</v>
      </c>
    </row>
    <row r="129" spans="1:3" x14ac:dyDescent="0.25">
      <c r="A129" s="22">
        <v>44470</v>
      </c>
      <c r="B129" s="1">
        <v>38</v>
      </c>
      <c r="C129" s="1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Table of Contents</vt:lpstr>
      <vt:lpstr>Fig1</vt:lpstr>
      <vt:lpstr>Fig2</vt:lpstr>
      <vt:lpstr>Fig3</vt:lpstr>
      <vt:lpstr>Fig4</vt:lpstr>
      <vt:lpstr>AE_A</vt:lpstr>
      <vt:lpstr>EMDE_A</vt:lpstr>
      <vt:lpstr>ALL_A</vt:lpstr>
      <vt:lpstr>Act_AEEM</vt:lpstr>
      <vt:lpstr>Act_ALL</vt:lpstr>
      <vt:lpstr>Fig4_data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Narita, Machiko</dc:creator>
  <cp:lastModifiedBy>Liu, Jianhong</cp:lastModifiedBy>
  <dcterms:created xsi:type="dcterms:W3CDTF">2018-10-26T20:33:48Z</dcterms:created>
  <dcterms:modified xsi:type="dcterms:W3CDTF">2023-04-13T21:35:52Z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