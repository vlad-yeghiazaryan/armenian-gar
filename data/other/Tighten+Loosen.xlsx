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yerz/Downloads/"/>
    </mc:Choice>
  </mc:AlternateContent>
  <xr:revisionPtr revIDLastSave="0" documentId="13_ncr:1_{09A906C3-05F9-804B-863D-39A862DEA5AC}" xr6:coauthVersionLast="47" xr6:coauthVersionMax="47" xr10:uidLastSave="{00000000-0000-0000-0000-000000000000}"/>
  <bookViews>
    <workbookView xWindow="0" yWindow="0" windowWidth="28800" windowHeight="18000" xr2:uid="{0D7C2EAE-BDB9-4916-BC12-4D0D1DE45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0" i="1" l="1"/>
  <c r="AH43" i="1"/>
  <c r="AH42" i="1"/>
  <c r="AH41" i="1"/>
  <c r="AH36" i="1"/>
  <c r="AH37" i="1"/>
  <c r="AH38" i="1"/>
  <c r="AH35" i="1"/>
  <c r="AF42" i="1"/>
  <c r="AE42" i="1"/>
  <c r="AD42" i="1"/>
  <c r="AC42" i="1"/>
  <c r="AB42" i="1"/>
  <c r="AG42" i="1" s="1"/>
  <c r="AF41" i="1"/>
  <c r="AE41" i="1"/>
  <c r="AD41" i="1"/>
  <c r="AG41" i="1" s="1"/>
  <c r="AC41" i="1"/>
  <c r="AB41" i="1"/>
  <c r="AE40" i="1"/>
  <c r="AD40" i="1"/>
  <c r="AB40" i="1"/>
  <c r="AF37" i="1"/>
  <c r="AE37" i="1"/>
  <c r="AD37" i="1"/>
  <c r="AC37" i="1"/>
  <c r="AB37" i="1"/>
  <c r="AF36" i="1"/>
  <c r="AE36" i="1"/>
  <c r="AD36" i="1"/>
  <c r="AC36" i="1"/>
  <c r="AB36" i="1"/>
  <c r="AE35" i="1"/>
  <c r="AD35" i="1"/>
  <c r="AB35" i="1"/>
  <c r="AD32" i="1"/>
  <c r="AF31" i="1"/>
  <c r="AF33" i="1" s="1"/>
  <c r="AE31" i="1"/>
  <c r="AE33" i="1" s="1"/>
  <c r="AD31" i="1"/>
  <c r="AD33" i="1" s="1"/>
  <c r="AC31" i="1"/>
  <c r="AC33" i="1" s="1"/>
  <c r="AB31" i="1"/>
  <c r="AF30" i="1"/>
  <c r="AF40" i="1" s="1"/>
  <c r="AE30" i="1"/>
  <c r="AD30" i="1"/>
  <c r="AC30" i="1"/>
  <c r="AC32" i="1" s="1"/>
  <c r="AB30" i="1"/>
  <c r="AB32" i="1" s="1"/>
  <c r="AF29" i="1"/>
  <c r="AC29" i="1"/>
  <c r="AD28" i="1"/>
  <c r="AC28" i="1"/>
  <c r="AB28" i="1"/>
  <c r="AF25" i="1"/>
  <c r="AE25" i="1"/>
  <c r="AE29" i="1" s="1"/>
  <c r="AD25" i="1"/>
  <c r="AF24" i="1"/>
  <c r="AE24" i="1"/>
  <c r="AE28" i="1" s="1"/>
  <c r="AE32" i="1" s="1"/>
  <c r="AD24" i="1"/>
  <c r="AF22" i="1"/>
  <c r="AE22" i="1"/>
  <c r="AD22" i="1"/>
  <c r="AF19" i="1"/>
  <c r="AE19" i="1"/>
  <c r="AD19" i="1"/>
  <c r="AF14" i="1"/>
  <c r="AE14" i="1"/>
  <c r="AD14" i="1"/>
  <c r="AD29" i="1" s="1"/>
  <c r="AC14" i="1"/>
  <c r="AB14" i="1"/>
  <c r="AB29" i="1" s="1"/>
  <c r="AB33" i="1" s="1"/>
  <c r="AF13" i="1"/>
  <c r="AF28" i="1" s="1"/>
  <c r="AE13" i="1"/>
  <c r="AD13" i="1"/>
  <c r="AC13" i="1"/>
  <c r="AB13" i="1"/>
  <c r="AF11" i="1"/>
  <c r="AE11" i="1"/>
  <c r="AF8" i="1"/>
  <c r="AE8" i="1"/>
  <c r="U14" i="1"/>
  <c r="T43" i="1"/>
  <c r="V43" i="1"/>
  <c r="W43" i="1"/>
  <c r="S43" i="1"/>
  <c r="S38" i="1"/>
  <c r="U29" i="1"/>
  <c r="U28" i="1"/>
  <c r="U24" i="1"/>
  <c r="T13" i="1"/>
  <c r="S29" i="1"/>
  <c r="S33" i="1"/>
  <c r="S35" i="1"/>
  <c r="T42" i="1"/>
  <c r="U42" i="1"/>
  <c r="V42" i="1"/>
  <c r="W42" i="1"/>
  <c r="S42" i="1"/>
  <c r="S37" i="1"/>
  <c r="T41" i="1"/>
  <c r="U41" i="1"/>
  <c r="V41" i="1"/>
  <c r="W41" i="1"/>
  <c r="S41" i="1"/>
  <c r="S36" i="1"/>
  <c r="T40" i="1"/>
  <c r="U40" i="1"/>
  <c r="V40" i="1"/>
  <c r="W40" i="1"/>
  <c r="S40" i="1"/>
  <c r="U36" i="1"/>
  <c r="T35" i="1"/>
  <c r="U35" i="1"/>
  <c r="V35" i="1"/>
  <c r="W35" i="1"/>
  <c r="T36" i="1"/>
  <c r="V36" i="1"/>
  <c r="W36" i="1"/>
  <c r="T37" i="1"/>
  <c r="U37" i="1"/>
  <c r="V37" i="1"/>
  <c r="W37" i="1"/>
  <c r="T38" i="1"/>
  <c r="V38" i="1"/>
  <c r="W38" i="1"/>
  <c r="S28" i="1"/>
  <c r="S32" i="1"/>
  <c r="S30" i="1"/>
  <c r="V14" i="1"/>
  <c r="W14" i="1"/>
  <c r="V13" i="1"/>
  <c r="W13" i="1"/>
  <c r="W11" i="1"/>
  <c r="V11" i="1"/>
  <c r="V8" i="1"/>
  <c r="W8" i="1"/>
  <c r="J35" i="1"/>
  <c r="T32" i="1"/>
  <c r="W31" i="1"/>
  <c r="V31" i="1"/>
  <c r="T31" i="1"/>
  <c r="T33" i="1" s="1"/>
  <c r="U31" i="1"/>
  <c r="S31" i="1"/>
  <c r="W30" i="1"/>
  <c r="W32" i="1" s="1"/>
  <c r="V30" i="1"/>
  <c r="T30" i="1"/>
  <c r="U30" i="1"/>
  <c r="J32" i="1"/>
  <c r="S13" i="1"/>
  <c r="V28" i="1"/>
  <c r="V32" i="1" s="1"/>
  <c r="J30" i="1"/>
  <c r="V25" i="1"/>
  <c r="W25" i="1"/>
  <c r="U25" i="1"/>
  <c r="V24" i="1"/>
  <c r="W24" i="1"/>
  <c r="W28" i="1" s="1"/>
  <c r="U32" i="1"/>
  <c r="V22" i="1"/>
  <c r="W22" i="1"/>
  <c r="U22" i="1"/>
  <c r="V19" i="1"/>
  <c r="W19" i="1"/>
  <c r="U19" i="1"/>
  <c r="T14" i="1"/>
  <c r="T29" i="1" s="1"/>
  <c r="S14" i="1"/>
  <c r="T28" i="1"/>
  <c r="U13" i="1"/>
  <c r="K26" i="1"/>
  <c r="K27" i="1"/>
  <c r="K37" i="1" s="1"/>
  <c r="J27" i="1"/>
  <c r="J37" i="1" s="1"/>
  <c r="J26" i="1"/>
  <c r="N15" i="1"/>
  <c r="N16" i="1"/>
  <c r="M15" i="1"/>
  <c r="K35" i="1"/>
  <c r="L35" i="1"/>
  <c r="N35" i="1"/>
  <c r="J31" i="1"/>
  <c r="J33" i="1" s="1"/>
  <c r="J38" i="1" s="1"/>
  <c r="K31" i="1"/>
  <c r="L31" i="1"/>
  <c r="L33" i="1" s="1"/>
  <c r="M31" i="1"/>
  <c r="N31" i="1"/>
  <c r="N33" i="1" s="1"/>
  <c r="K30" i="1"/>
  <c r="K32" i="1" s="1"/>
  <c r="L30" i="1"/>
  <c r="L32" i="1" s="1"/>
  <c r="M30" i="1"/>
  <c r="M32" i="1" s="1"/>
  <c r="N30" i="1"/>
  <c r="N32" i="1" s="1"/>
  <c r="K33" i="1"/>
  <c r="M26" i="1"/>
  <c r="N26" i="1"/>
  <c r="N27" i="1"/>
  <c r="L27" i="1"/>
  <c r="L26" i="1"/>
  <c r="J16" i="1"/>
  <c r="K16" i="1"/>
  <c r="K15" i="1"/>
  <c r="K36" i="1" s="1"/>
  <c r="J15" i="1"/>
  <c r="J36" i="1" s="1"/>
  <c r="M10" i="1"/>
  <c r="M33" i="1" s="1"/>
  <c r="AG37" i="1" l="1"/>
  <c r="AG36" i="1"/>
  <c r="X36" i="1"/>
  <c r="AC43" i="1"/>
  <c r="AC38" i="1"/>
  <c r="AD43" i="1"/>
  <c r="AD38" i="1"/>
  <c r="AB43" i="1"/>
  <c r="AB38" i="1"/>
  <c r="AE43" i="1"/>
  <c r="AE38" i="1"/>
  <c r="AC35" i="1"/>
  <c r="AC40" i="1"/>
  <c r="AG40" i="1" s="1"/>
  <c r="AF32" i="1"/>
  <c r="AF43" i="1" s="1"/>
  <c r="AF35" i="1"/>
  <c r="X40" i="1"/>
  <c r="X42" i="1"/>
  <c r="X37" i="1"/>
  <c r="X41" i="1"/>
  <c r="X35" i="1"/>
  <c r="W29" i="1"/>
  <c r="W33" i="1" s="1"/>
  <c r="U33" i="1"/>
  <c r="V29" i="1"/>
  <c r="V33" i="1" s="1"/>
  <c r="N38" i="1"/>
  <c r="L37" i="1"/>
  <c r="L38" i="1"/>
  <c r="K38" i="1"/>
  <c r="N37" i="1"/>
  <c r="M38" i="1"/>
  <c r="M16" i="1"/>
  <c r="M36" i="1" s="1"/>
  <c r="M27" i="1"/>
  <c r="M37" i="1" s="1"/>
  <c r="N36" i="1"/>
  <c r="M35" i="1"/>
  <c r="O35" i="1" s="1"/>
  <c r="L16" i="1"/>
  <c r="L15" i="1"/>
  <c r="AG35" i="1" l="1"/>
  <c r="AG43" i="1"/>
  <c r="AF38" i="1"/>
  <c r="AG38" i="1" s="1"/>
  <c r="U38" i="1"/>
  <c r="X38" i="1" s="1"/>
  <c r="U43" i="1"/>
  <c r="X43" i="1" s="1"/>
  <c r="O37" i="1"/>
  <c r="O38" i="1"/>
  <c r="L36" i="1"/>
  <c r="O36" i="1" s="1"/>
</calcChain>
</file>

<file path=xl/sharedStrings.xml><?xml version="1.0" encoding="utf-8"?>
<sst xmlns="http://schemas.openxmlformats.org/spreadsheetml/2006/main" count="103" uniqueCount="32">
  <si>
    <t>y_tail</t>
  </si>
  <si>
    <t>y_median</t>
  </si>
  <si>
    <t>T=4</t>
  </si>
  <si>
    <t>T=12</t>
  </si>
  <si>
    <t>T=16</t>
  </si>
  <si>
    <t>T=20</t>
  </si>
  <si>
    <t>T=8</t>
  </si>
  <si>
    <t>Tightening</t>
  </si>
  <si>
    <t>Loosening</t>
  </si>
  <si>
    <t>y_tail_T</t>
  </si>
  <si>
    <t>y_median_T</t>
  </si>
  <si>
    <t>y_tail_L</t>
  </si>
  <si>
    <t>y_median_L</t>
  </si>
  <si>
    <t>∆y_tail_T</t>
  </si>
  <si>
    <t>∆y_median_T</t>
  </si>
  <si>
    <t>∆y_tail_L</t>
  </si>
  <si>
    <t>∆y_median_L</t>
  </si>
  <si>
    <t>No policy</t>
  </si>
  <si>
    <t>Total</t>
  </si>
  <si>
    <t>∆y_tail</t>
  </si>
  <si>
    <t>∆y_median</t>
  </si>
  <si>
    <t>w</t>
  </si>
  <si>
    <t>Both policies</t>
  </si>
  <si>
    <t>Tighten</t>
  </si>
  <si>
    <t>Loosen</t>
  </si>
  <si>
    <t>MPI_shock</t>
  </si>
  <si>
    <t>quantile</t>
  </si>
  <si>
    <t>GDPq50</t>
  </si>
  <si>
    <t>GaR</t>
  </si>
  <si>
    <t>Gap</t>
  </si>
  <si>
    <t>Joint policy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</si>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</sst>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164F-6283-4B88-80A0-E5C1792F1AFB}">
  <dimension ref="I5:AH46"/>
  <sheetViews>
    <sheetView tabSelected="1" topLeftCell="X30" zoomScale="174" zoomScaleNormal="115" workbookViewId="0">
      <selection activeCell="AG45" sqref="AG45"/>
    </sheetView>
  </sheetViews>
  <sheetFormatPr baseColWidth="10" defaultColWidth="8.83203125" defaultRowHeight="15" x14ac:dyDescent="0.2"/>
  <cols>
    <col min="9" max="9" width="12.83203125" bestFit="1" customWidth="1"/>
    <col min="17" max="17" width="11" bestFit="1" customWidth="1"/>
    <col min="18" max="18" width="11.33203125" bestFit="1" customWidth="1"/>
    <col min="19" max="20" width="5.1640625" bestFit="1" customWidth="1"/>
    <col min="21" max="23" width="12.6640625" bestFit="1" customWidth="1"/>
    <col min="26" max="26" width="10" bestFit="1" customWidth="1"/>
  </cols>
  <sheetData>
    <row r="5" spans="9:32" x14ac:dyDescent="0.2">
      <c r="Q5" s="5" t="s">
        <v>25</v>
      </c>
      <c r="R5" s="5" t="s">
        <v>26</v>
      </c>
      <c r="S5" s="5">
        <v>4</v>
      </c>
      <c r="T5" s="5">
        <v>8</v>
      </c>
      <c r="U5" s="5">
        <v>12</v>
      </c>
      <c r="V5" s="5">
        <v>16</v>
      </c>
      <c r="W5" s="5">
        <v>20</v>
      </c>
      <c r="Z5" s="5" t="s">
        <v>25</v>
      </c>
      <c r="AA5" s="5" t="s">
        <v>26</v>
      </c>
      <c r="AB5" s="5">
        <v>4</v>
      </c>
      <c r="AC5" s="5">
        <v>8</v>
      </c>
      <c r="AD5" s="5">
        <v>12</v>
      </c>
      <c r="AE5" s="5">
        <v>16</v>
      </c>
      <c r="AF5" s="5">
        <v>20</v>
      </c>
    </row>
    <row r="6" spans="9:32" x14ac:dyDescent="0.2">
      <c r="Q6" s="6">
        <v>0</v>
      </c>
      <c r="R6" s="5" t="s">
        <v>27</v>
      </c>
      <c r="S6" s="7">
        <v>9.2283885320892729</v>
      </c>
      <c r="T6" s="7">
        <v>6.2953051937461506</v>
      </c>
      <c r="U6" s="7">
        <v>1.7470695687715461</v>
      </c>
      <c r="V6">
        <v>8.8390635602561609</v>
      </c>
      <c r="W6">
        <v>2.2025082499458879</v>
      </c>
      <c r="Z6" s="6">
        <v>0</v>
      </c>
      <c r="AA6" s="5" t="s">
        <v>27</v>
      </c>
      <c r="AB6" s="7">
        <v>9.2283885320892729</v>
      </c>
      <c r="AC6" s="7">
        <v>6.2953051937461506</v>
      </c>
      <c r="AD6" s="7">
        <v>1.7470695687715461</v>
      </c>
      <c r="AE6">
        <v>8.8390635602561609</v>
      </c>
      <c r="AF6">
        <v>2.2025082499458879</v>
      </c>
    </row>
    <row r="7" spans="9:32" x14ac:dyDescent="0.2">
      <c r="Q7" s="6"/>
      <c r="R7" s="5" t="s">
        <v>28</v>
      </c>
      <c r="S7" s="7">
        <v>1.2993222718768751</v>
      </c>
      <c r="T7" s="7">
        <v>-0.928926423330525</v>
      </c>
      <c r="U7" s="7">
        <v>-2.308954433275233</v>
      </c>
      <c r="V7">
        <v>-12.741340250316959</v>
      </c>
      <c r="W7">
        <v>-13.52704920504314</v>
      </c>
      <c r="Z7" s="6"/>
      <c r="AA7" s="5" t="s">
        <v>28</v>
      </c>
      <c r="AB7" s="7">
        <v>1.2993222718768751</v>
      </c>
      <c r="AC7" s="7">
        <v>-0.928926423330525</v>
      </c>
      <c r="AD7" s="7">
        <v>-2.308954433275233</v>
      </c>
      <c r="AE7">
        <v>-12.741340250316959</v>
      </c>
      <c r="AF7">
        <v>-13.52704920504314</v>
      </c>
    </row>
    <row r="8" spans="9:32" x14ac:dyDescent="0.2">
      <c r="I8" s="4" t="s">
        <v>17</v>
      </c>
      <c r="J8" t="s">
        <v>2</v>
      </c>
      <c r="K8" t="s">
        <v>6</v>
      </c>
      <c r="L8" t="s">
        <v>3</v>
      </c>
      <c r="M8" t="s">
        <v>4</v>
      </c>
      <c r="N8" t="s">
        <v>5</v>
      </c>
      <c r="Q8" s="6"/>
      <c r="R8" s="5" t="s">
        <v>29</v>
      </c>
      <c r="S8" s="7">
        <v>7.9290662602123998</v>
      </c>
      <c r="T8" s="7">
        <v>7.2242316170766756</v>
      </c>
      <c r="U8" s="7">
        <v>4.0560240020467786</v>
      </c>
      <c r="V8">
        <f>V6-V7</f>
        <v>21.58040381057312</v>
      </c>
      <c r="W8">
        <f t="shared" ref="W8" si="0">W6-W7</f>
        <v>15.729557454989028</v>
      </c>
      <c r="Z8" s="6"/>
      <c r="AA8" s="5" t="s">
        <v>29</v>
      </c>
      <c r="AB8" s="7">
        <v>7.9290662602123998</v>
      </c>
      <c r="AC8" s="7">
        <v>7.2242316170766756</v>
      </c>
      <c r="AD8" s="7">
        <v>4.0560240020467786</v>
      </c>
      <c r="AE8">
        <f>AE6-AE7</f>
        <v>21.58040381057312</v>
      </c>
      <c r="AF8">
        <f t="shared" ref="AF8" si="1">AF6-AF7</f>
        <v>15.729557454989028</v>
      </c>
    </row>
    <row r="9" spans="9:32" x14ac:dyDescent="0.2">
      <c r="I9" t="s">
        <v>0</v>
      </c>
      <c r="J9">
        <v>-5</v>
      </c>
      <c r="K9">
        <v>-6</v>
      </c>
      <c r="L9">
        <v>-4</v>
      </c>
      <c r="M9">
        <v>-5</v>
      </c>
      <c r="N9">
        <v>-4</v>
      </c>
      <c r="Q9" s="6">
        <v>0.5</v>
      </c>
      <c r="R9" s="5" t="s">
        <v>27</v>
      </c>
      <c r="S9" s="7">
        <v>8.9107538803326864</v>
      </c>
      <c r="T9" s="7">
        <v>6.0034614184942754</v>
      </c>
      <c r="U9" s="7">
        <v>1.5055819022771899</v>
      </c>
      <c r="V9">
        <v>8.8390635602561609</v>
      </c>
      <c r="W9">
        <v>2.2025082499458879</v>
      </c>
      <c r="Z9" s="6">
        <v>0.5</v>
      </c>
      <c r="AA9" s="5" t="s">
        <v>27</v>
      </c>
      <c r="AB9" s="7">
        <v>8.9107538803326864</v>
      </c>
      <c r="AC9" s="7">
        <v>6.0034614184942754</v>
      </c>
      <c r="AD9" s="7">
        <v>3</v>
      </c>
      <c r="AE9">
        <v>8.8390635602561609</v>
      </c>
      <c r="AF9">
        <v>2.2025082499458879</v>
      </c>
    </row>
    <row r="10" spans="9:32" x14ac:dyDescent="0.2">
      <c r="I10" t="s">
        <v>1</v>
      </c>
      <c r="J10">
        <v>3</v>
      </c>
      <c r="K10">
        <v>2</v>
      </c>
      <c r="L10">
        <v>3</v>
      </c>
      <c r="M10">
        <f t="shared" ref="M10" si="2">L10</f>
        <v>3</v>
      </c>
      <c r="N10">
        <v>1</v>
      </c>
      <c r="Q10" s="6"/>
      <c r="R10" s="5" t="s">
        <v>28</v>
      </c>
      <c r="S10" s="7">
        <v>1.527431103211383</v>
      </c>
      <c r="T10" s="7">
        <v>-0.59157513813513773</v>
      </c>
      <c r="U10" s="7">
        <v>-1.8827391431360001</v>
      </c>
      <c r="V10">
        <v>-12.741340250316959</v>
      </c>
      <c r="W10">
        <v>-13.52704920504314</v>
      </c>
      <c r="Z10" s="6"/>
      <c r="AA10" s="5" t="s">
        <v>28</v>
      </c>
      <c r="AB10" s="7">
        <v>1.527431103211383</v>
      </c>
      <c r="AC10" s="7">
        <v>-0.59157513813513773</v>
      </c>
      <c r="AD10" s="7">
        <v>-1.8827391431360001</v>
      </c>
      <c r="AE10">
        <v>-12.741340250316959</v>
      </c>
      <c r="AF10">
        <v>-13.52704920504314</v>
      </c>
    </row>
    <row r="11" spans="9:32" x14ac:dyDescent="0.2">
      <c r="Q11" s="6"/>
      <c r="R11" s="5" t="s">
        <v>29</v>
      </c>
      <c r="S11" s="7">
        <v>7.383322777121303</v>
      </c>
      <c r="T11" s="7">
        <v>6.5950365566294122</v>
      </c>
      <c r="U11" s="7">
        <v>3.3883210454131851</v>
      </c>
      <c r="V11">
        <f>V9-V10</f>
        <v>21.58040381057312</v>
      </c>
      <c r="W11">
        <f t="shared" ref="W11" si="3">W9-W10</f>
        <v>15.729557454989028</v>
      </c>
      <c r="Z11" s="6"/>
      <c r="AA11" s="5" t="s">
        <v>29</v>
      </c>
      <c r="AB11" s="7">
        <v>7.383322777121303</v>
      </c>
      <c r="AC11" s="7">
        <v>6.5950365566294122</v>
      </c>
      <c r="AD11" s="7">
        <v>3.3883210454131851</v>
      </c>
      <c r="AE11">
        <f>AE9-AE10</f>
        <v>21.58040381057312</v>
      </c>
      <c r="AF11">
        <f t="shared" ref="AF11" si="4">AF9-AF10</f>
        <v>15.729557454989028</v>
      </c>
    </row>
    <row r="12" spans="9:32" x14ac:dyDescent="0.2">
      <c r="I12" s="1" t="s">
        <v>7</v>
      </c>
    </row>
    <row r="13" spans="9:32" x14ac:dyDescent="0.2">
      <c r="I13" t="s">
        <v>13</v>
      </c>
      <c r="J13">
        <v>1</v>
      </c>
      <c r="K13">
        <v>2</v>
      </c>
      <c r="L13">
        <v>1</v>
      </c>
      <c r="R13" t="s">
        <v>13</v>
      </c>
      <c r="S13" s="7">
        <f>S10-S7</f>
        <v>0.22810883133450788</v>
      </c>
      <c r="T13" s="7">
        <f>T10-T7</f>
        <v>0.33735128519538726</v>
      </c>
      <c r="U13" s="7">
        <f t="shared" ref="U13:W13" si="5">U10-U7</f>
        <v>0.42621529013923287</v>
      </c>
      <c r="V13" s="7">
        <f t="shared" si="5"/>
        <v>0</v>
      </c>
      <c r="W13" s="7">
        <f t="shared" si="5"/>
        <v>0</v>
      </c>
      <c r="AA13" t="s">
        <v>13</v>
      </c>
      <c r="AB13" s="7">
        <f>AB10-AB7</f>
        <v>0.22810883133450788</v>
      </c>
      <c r="AC13" s="7">
        <f>AC10-AC7</f>
        <v>0.33735128519538726</v>
      </c>
      <c r="AD13" s="7">
        <f t="shared" ref="AD13:AF13" si="6">AD10-AD7</f>
        <v>0.42621529013923287</v>
      </c>
      <c r="AE13" s="7">
        <f t="shared" si="6"/>
        <v>0</v>
      </c>
      <c r="AF13" s="7">
        <f t="shared" si="6"/>
        <v>0</v>
      </c>
    </row>
    <row r="14" spans="9:32" x14ac:dyDescent="0.2">
      <c r="I14" t="s">
        <v>14</v>
      </c>
      <c r="J14">
        <v>-1</v>
      </c>
      <c r="K14">
        <v>-2</v>
      </c>
      <c r="L14">
        <v>0</v>
      </c>
      <c r="R14" t="s">
        <v>14</v>
      </c>
      <c r="S14" s="7">
        <f>S9-S6</f>
        <v>-0.31763465175658645</v>
      </c>
      <c r="T14" s="7">
        <f t="shared" ref="T14:W14" si="7">T9-T6</f>
        <v>-0.29184377525187521</v>
      </c>
      <c r="U14" s="7">
        <f>U9-U6</f>
        <v>-0.24148766649435616</v>
      </c>
      <c r="V14" s="7">
        <f t="shared" si="7"/>
        <v>0</v>
      </c>
      <c r="W14" s="7">
        <f t="shared" si="7"/>
        <v>0</v>
      </c>
      <c r="AA14" t="s">
        <v>14</v>
      </c>
      <c r="AB14" s="7">
        <f>AB9-AB6</f>
        <v>-0.31763465175658645</v>
      </c>
      <c r="AC14" s="7">
        <f t="shared" ref="AC14:AF14" si="8">AC9-AC6</f>
        <v>-0.29184377525187521</v>
      </c>
      <c r="AD14" s="7">
        <f>AD9-AD6</f>
        <v>1.2529304312284539</v>
      </c>
      <c r="AE14" s="7">
        <f t="shared" ref="AE14:AG14" si="9">AE9-AE6</f>
        <v>0</v>
      </c>
      <c r="AF14" s="7">
        <f t="shared" si="9"/>
        <v>0</v>
      </c>
    </row>
    <row r="15" spans="9:32" x14ac:dyDescent="0.2">
      <c r="I15" s="3" t="s">
        <v>9</v>
      </c>
      <c r="J15" s="3">
        <f>J9+J13</f>
        <v>-4</v>
      </c>
      <c r="K15" s="3">
        <f t="shared" ref="K15:L16" si="10">K9+K13</f>
        <v>-4</v>
      </c>
      <c r="L15" s="3">
        <f t="shared" si="10"/>
        <v>-3</v>
      </c>
      <c r="M15">
        <f>M9</f>
        <v>-5</v>
      </c>
      <c r="N15">
        <f>N9</f>
        <v>-4</v>
      </c>
    </row>
    <row r="16" spans="9:32" x14ac:dyDescent="0.2">
      <c r="I16" s="3" t="s">
        <v>10</v>
      </c>
      <c r="J16" s="3">
        <f>J10+J14</f>
        <v>2</v>
      </c>
      <c r="K16" s="3">
        <f t="shared" si="10"/>
        <v>0</v>
      </c>
      <c r="L16" s="3">
        <f t="shared" si="10"/>
        <v>3</v>
      </c>
      <c r="M16">
        <f>M10</f>
        <v>3</v>
      </c>
      <c r="N16">
        <f>N10</f>
        <v>1</v>
      </c>
      <c r="Q16" s="5" t="s">
        <v>25</v>
      </c>
      <c r="R16" s="5" t="s">
        <v>26</v>
      </c>
      <c r="S16" s="5">
        <v>4</v>
      </c>
      <c r="T16" s="5">
        <v>8</v>
      </c>
      <c r="U16" s="5">
        <v>12</v>
      </c>
      <c r="V16" s="5">
        <v>16</v>
      </c>
      <c r="W16" s="5">
        <v>20</v>
      </c>
      <c r="Z16" s="5" t="s">
        <v>25</v>
      </c>
      <c r="AA16" s="5" t="s">
        <v>26</v>
      </c>
      <c r="AB16" s="5">
        <v>4</v>
      </c>
      <c r="AC16" s="5">
        <v>8</v>
      </c>
      <c r="AD16" s="5">
        <v>12</v>
      </c>
      <c r="AE16" s="5">
        <v>16</v>
      </c>
      <c r="AF16" s="5">
        <v>20</v>
      </c>
    </row>
    <row r="17" spans="9:32" x14ac:dyDescent="0.2">
      <c r="I17" s="3"/>
      <c r="J17" s="3"/>
      <c r="K17" s="3"/>
      <c r="L17" s="3"/>
      <c r="Q17" s="6">
        <v>0</v>
      </c>
      <c r="R17" s="5" t="s">
        <v>27</v>
      </c>
      <c r="S17" s="7">
        <v>9.2283885320892729</v>
      </c>
      <c r="T17" s="7">
        <v>6.2953051937461506</v>
      </c>
      <c r="U17">
        <v>10.92884984396988</v>
      </c>
      <c r="V17">
        <v>8.8390635602561609</v>
      </c>
      <c r="W17">
        <v>2.2025082499458879</v>
      </c>
      <c r="Z17" s="6">
        <v>0</v>
      </c>
      <c r="AA17" s="5" t="s">
        <v>27</v>
      </c>
      <c r="AB17" s="7">
        <v>9.2283885320892729</v>
      </c>
      <c r="AC17" s="7">
        <v>6.2953051937461506</v>
      </c>
      <c r="AD17">
        <v>10.92884984396988</v>
      </c>
      <c r="AE17">
        <v>8.8390635602561609</v>
      </c>
      <c r="AF17">
        <v>2.2025082499458879</v>
      </c>
    </row>
    <row r="18" spans="9:32" x14ac:dyDescent="0.2">
      <c r="I18" s="3"/>
      <c r="J18" s="3"/>
      <c r="K18" s="3"/>
      <c r="L18" s="3"/>
      <c r="Q18" s="5"/>
      <c r="R18" s="5" t="s">
        <v>28</v>
      </c>
      <c r="S18" s="7">
        <v>1.2993222718768751</v>
      </c>
      <c r="T18" s="7">
        <v>-0.928926423330525</v>
      </c>
      <c r="U18">
        <v>-7.1727549511200941</v>
      </c>
      <c r="V18">
        <v>-12.741340250316959</v>
      </c>
      <c r="W18">
        <v>-13.52704920504314</v>
      </c>
      <c r="Z18" s="5"/>
      <c r="AA18" s="5" t="s">
        <v>28</v>
      </c>
      <c r="AB18" s="7">
        <v>1.2993222718768751</v>
      </c>
      <c r="AC18" s="7">
        <v>-0.928926423330525</v>
      </c>
      <c r="AD18">
        <v>-7.1727549511200941</v>
      </c>
      <c r="AE18">
        <v>-12.741340250316959</v>
      </c>
      <c r="AF18">
        <v>-13.52704920504314</v>
      </c>
    </row>
    <row r="19" spans="9:32" x14ac:dyDescent="0.2">
      <c r="I19" s="3"/>
      <c r="J19" s="3"/>
      <c r="K19" s="3"/>
      <c r="L19" s="3"/>
      <c r="Q19" s="5"/>
      <c r="R19" s="5" t="s">
        <v>29</v>
      </c>
      <c r="S19" s="7">
        <v>7.9290662602123998</v>
      </c>
      <c r="T19" s="7">
        <v>7.2242316170766756</v>
      </c>
      <c r="U19">
        <f>U17-U18</f>
        <v>18.101604795089976</v>
      </c>
      <c r="V19">
        <f t="shared" ref="V19:W19" si="11">V17-V18</f>
        <v>21.58040381057312</v>
      </c>
      <c r="W19">
        <f t="shared" si="11"/>
        <v>15.729557454989028</v>
      </c>
      <c r="Z19" s="5"/>
      <c r="AA19" s="5" t="s">
        <v>29</v>
      </c>
      <c r="AB19" s="7">
        <v>7.9290662602123998</v>
      </c>
      <c r="AC19" s="7">
        <v>7.2242316170766756</v>
      </c>
      <c r="AD19">
        <f>AD17-AD18</f>
        <v>18.101604795089976</v>
      </c>
      <c r="AE19">
        <f t="shared" ref="AE19" si="12">AE17-AE18</f>
        <v>21.58040381057312</v>
      </c>
      <c r="AF19">
        <f t="shared" ref="AF19" si="13">AF17-AF18</f>
        <v>15.729557454989028</v>
      </c>
    </row>
    <row r="20" spans="9:32" x14ac:dyDescent="0.2">
      <c r="I20" s="3"/>
      <c r="J20" s="3"/>
      <c r="K20" s="3"/>
      <c r="L20" s="3"/>
      <c r="Q20" s="5">
        <v>-0.5</v>
      </c>
      <c r="R20" s="5" t="s">
        <v>27</v>
      </c>
      <c r="S20" s="7">
        <v>9.2283885320892729</v>
      </c>
      <c r="T20" s="7">
        <v>6.2953051937461506</v>
      </c>
      <c r="U20">
        <v>11.11611366522088</v>
      </c>
      <c r="V20">
        <v>9.0414143484902798</v>
      </c>
      <c r="W20">
        <v>2.3849448456302951</v>
      </c>
      <c r="Z20" s="5">
        <v>-0.5</v>
      </c>
      <c r="AA20" s="5" t="s">
        <v>27</v>
      </c>
      <c r="AB20" s="7">
        <v>9.2283885320892729</v>
      </c>
      <c r="AC20" s="7">
        <v>6.2953051937461506</v>
      </c>
      <c r="AD20">
        <v>11.11611366522088</v>
      </c>
      <c r="AE20">
        <v>9.0414143484902798</v>
      </c>
      <c r="AF20">
        <v>2.3849448456302951</v>
      </c>
    </row>
    <row r="21" spans="9:32" x14ac:dyDescent="0.2">
      <c r="I21" s="3"/>
      <c r="J21" s="3"/>
      <c r="K21" s="3"/>
      <c r="L21" s="3"/>
      <c r="Q21" s="5"/>
      <c r="R21" s="5" t="s">
        <v>28</v>
      </c>
      <c r="S21" s="7">
        <v>1.2993222718768751</v>
      </c>
      <c r="T21" s="7">
        <v>-0.928926423330525</v>
      </c>
      <c r="U21">
        <v>-7.0575313728120168</v>
      </c>
      <c r="V21">
        <v>-12.64463453707201</v>
      </c>
      <c r="W21">
        <v>-13.43752105389731</v>
      </c>
      <c r="Z21" s="5"/>
      <c r="AA21" s="5" t="s">
        <v>28</v>
      </c>
      <c r="AB21" s="7">
        <v>1.2993222718768751</v>
      </c>
      <c r="AC21" s="7">
        <v>-0.928926423330525</v>
      </c>
      <c r="AD21">
        <v>-7.0575313728120168</v>
      </c>
      <c r="AE21">
        <v>-12.64463453707201</v>
      </c>
      <c r="AF21">
        <v>-13.43752105389731</v>
      </c>
    </row>
    <row r="22" spans="9:32" x14ac:dyDescent="0.2">
      <c r="Q22" s="5"/>
      <c r="R22" s="5" t="s">
        <v>29</v>
      </c>
      <c r="S22" s="7">
        <v>7.9290662602123998</v>
      </c>
      <c r="T22" s="7">
        <v>7.2242316170766756</v>
      </c>
      <c r="U22">
        <f>U20-U21</f>
        <v>18.173645038032895</v>
      </c>
      <c r="V22">
        <f>V20-V21</f>
        <v>21.68604888556229</v>
      </c>
      <c r="W22">
        <f t="shared" ref="W22" si="14">W20-W21</f>
        <v>15.822465899527606</v>
      </c>
      <c r="Z22" s="5"/>
      <c r="AA22" s="5" t="s">
        <v>29</v>
      </c>
      <c r="AB22" s="7">
        <v>7.9290662602123998</v>
      </c>
      <c r="AC22" s="7">
        <v>7.2242316170766756</v>
      </c>
      <c r="AD22">
        <f>AD20-AD21</f>
        <v>18.173645038032895</v>
      </c>
      <c r="AE22">
        <f>AE20-AE21</f>
        <v>21.68604888556229</v>
      </c>
      <c r="AF22">
        <f t="shared" ref="AF22" si="15">AF20-AF21</f>
        <v>15.822465899527606</v>
      </c>
    </row>
    <row r="23" spans="9:32" x14ac:dyDescent="0.2">
      <c r="I23" s="2" t="s">
        <v>8</v>
      </c>
    </row>
    <row r="24" spans="9:32" x14ac:dyDescent="0.2">
      <c r="I24" t="s">
        <v>15</v>
      </c>
      <c r="L24">
        <v>2</v>
      </c>
      <c r="M24">
        <v>1</v>
      </c>
      <c r="N24">
        <v>0</v>
      </c>
      <c r="R24" t="s">
        <v>15</v>
      </c>
      <c r="S24">
        <v>0</v>
      </c>
      <c r="T24">
        <v>0</v>
      </c>
      <c r="U24">
        <f>U21-U18</f>
        <v>0.11522357830807728</v>
      </c>
      <c r="V24">
        <f t="shared" ref="V24:W24" si="16">V21-V18</f>
        <v>9.6705713244949365E-2</v>
      </c>
      <c r="W24">
        <f t="shared" si="16"/>
        <v>8.9528151145829682E-2</v>
      </c>
      <c r="AA24" t="s">
        <v>15</v>
      </c>
      <c r="AB24">
        <v>0</v>
      </c>
      <c r="AC24">
        <v>0</v>
      </c>
      <c r="AD24">
        <f>AD21-AD18</f>
        <v>0.11522357830807728</v>
      </c>
      <c r="AE24">
        <f t="shared" ref="AE24:AF24" si="17">AE21-AE18</f>
        <v>9.6705713244949365E-2</v>
      </c>
      <c r="AF24">
        <f t="shared" si="17"/>
        <v>8.9528151145829682E-2</v>
      </c>
    </row>
    <row r="25" spans="9:32" x14ac:dyDescent="0.2">
      <c r="I25" t="s">
        <v>16</v>
      </c>
      <c r="L25">
        <v>4</v>
      </c>
      <c r="M25">
        <v>2</v>
      </c>
      <c r="N25">
        <v>0</v>
      </c>
      <c r="R25" t="s">
        <v>16</v>
      </c>
      <c r="S25">
        <v>0</v>
      </c>
      <c r="T25">
        <v>0</v>
      </c>
      <c r="U25">
        <f>U20-U17</f>
        <v>0.18726382125099938</v>
      </c>
      <c r="V25">
        <f t="shared" ref="V25:W25" si="18">V20-V17</f>
        <v>0.20235078823411889</v>
      </c>
      <c r="W25">
        <f t="shared" si="18"/>
        <v>0.18243659568440718</v>
      </c>
      <c r="AA25" t="s">
        <v>16</v>
      </c>
      <c r="AB25">
        <v>0</v>
      </c>
      <c r="AC25">
        <v>0</v>
      </c>
      <c r="AD25">
        <f>AD20-AD17</f>
        <v>0.18726382125099938</v>
      </c>
      <c r="AE25">
        <f t="shared" ref="AE25:AF25" si="19">AE20-AE17</f>
        <v>0.20235078823411889</v>
      </c>
      <c r="AF25">
        <f t="shared" si="19"/>
        <v>0.18243659568440718</v>
      </c>
    </row>
    <row r="26" spans="9:32" x14ac:dyDescent="0.2">
      <c r="I26" s="3" t="s">
        <v>11</v>
      </c>
      <c r="J26">
        <f>J9</f>
        <v>-5</v>
      </c>
      <c r="K26">
        <f>K9</f>
        <v>-6</v>
      </c>
      <c r="L26">
        <f>L9+L24</f>
        <v>-2</v>
      </c>
      <c r="M26">
        <f t="shared" ref="M26:N26" si="20">M9+M24</f>
        <v>-4</v>
      </c>
      <c r="N26">
        <f t="shared" si="20"/>
        <v>-4</v>
      </c>
    </row>
    <row r="27" spans="9:32" x14ac:dyDescent="0.2">
      <c r="I27" s="3" t="s">
        <v>12</v>
      </c>
      <c r="J27">
        <f>J10</f>
        <v>3</v>
      </c>
      <c r="K27">
        <f>K10</f>
        <v>2</v>
      </c>
      <c r="L27">
        <f>L10+L25</f>
        <v>7</v>
      </c>
      <c r="M27">
        <f t="shared" ref="M27:N27" si="21">M10+M25</f>
        <v>5</v>
      </c>
      <c r="N27">
        <f t="shared" si="21"/>
        <v>1</v>
      </c>
      <c r="R27" s="3" t="s">
        <v>18</v>
      </c>
      <c r="AA27" s="3" t="s">
        <v>18</v>
      </c>
    </row>
    <row r="28" spans="9:32" x14ac:dyDescent="0.2">
      <c r="R28" t="s">
        <v>19</v>
      </c>
      <c r="S28" s="7">
        <f>S13+S24</f>
        <v>0.22810883133450788</v>
      </c>
      <c r="T28" s="7">
        <f>T13+T24</f>
        <v>0.33735128519538726</v>
      </c>
      <c r="U28" s="7">
        <f>U13+U24</f>
        <v>0.54143886844731015</v>
      </c>
      <c r="V28" s="7">
        <f>V13+V24</f>
        <v>9.6705713244949365E-2</v>
      </c>
      <c r="W28" s="7">
        <f>W13+W24</f>
        <v>8.9528151145829682E-2</v>
      </c>
      <c r="AA28" t="s">
        <v>19</v>
      </c>
      <c r="AB28" s="7">
        <f>AB13+AB24</f>
        <v>0.22810883133450788</v>
      </c>
      <c r="AC28" s="7">
        <f>AC13+AC24</f>
        <v>0.33735128519538726</v>
      </c>
      <c r="AD28" s="7">
        <f>AD13+AD24</f>
        <v>0.54143886844731015</v>
      </c>
      <c r="AE28" s="7">
        <f>AE13+AE24</f>
        <v>9.6705713244949365E-2</v>
      </c>
      <c r="AF28" s="7">
        <f>AF13+AF24</f>
        <v>8.9528151145829682E-2</v>
      </c>
    </row>
    <row r="29" spans="9:32" x14ac:dyDescent="0.2">
      <c r="I29" s="3" t="s">
        <v>18</v>
      </c>
      <c r="R29" t="s">
        <v>20</v>
      </c>
      <c r="S29" s="7">
        <f>S14+S25</f>
        <v>-0.31763465175658645</v>
      </c>
      <c r="T29" s="7">
        <f>T14+T25</f>
        <v>-0.29184377525187521</v>
      </c>
      <c r="U29" s="7">
        <f>U14+U25</f>
        <v>-5.4223845243356772E-2</v>
      </c>
      <c r="V29" s="7">
        <f>V14+V25</f>
        <v>0.20235078823411889</v>
      </c>
      <c r="W29" s="7">
        <f>W14+W25</f>
        <v>0.18243659568440718</v>
      </c>
      <c r="AA29" t="s">
        <v>20</v>
      </c>
      <c r="AB29" s="7">
        <f>AB14+AB25</f>
        <v>-0.31763465175658645</v>
      </c>
      <c r="AC29" s="7">
        <f>AC14+AC25</f>
        <v>-0.29184377525187521</v>
      </c>
      <c r="AD29" s="7">
        <f>AD14+AD25</f>
        <v>1.4401942524794533</v>
      </c>
      <c r="AE29" s="7">
        <f>AE14+AE25</f>
        <v>0.20235078823411889</v>
      </c>
      <c r="AF29" s="7">
        <f>AF14+AF25</f>
        <v>0.18243659568440718</v>
      </c>
    </row>
    <row r="30" spans="9:32" x14ac:dyDescent="0.2">
      <c r="I30" t="s">
        <v>19</v>
      </c>
      <c r="J30">
        <f>J13+J24</f>
        <v>1</v>
      </c>
      <c r="K30">
        <f>K13+K24</f>
        <v>2</v>
      </c>
      <c r="L30">
        <f>L13+L24</f>
        <v>3</v>
      </c>
      <c r="M30">
        <f>M13+M24</f>
        <v>1</v>
      </c>
      <c r="N30">
        <f>N13+N24</f>
        <v>0</v>
      </c>
      <c r="Q30" s="4" t="s">
        <v>17</v>
      </c>
      <c r="R30" s="3" t="s">
        <v>0</v>
      </c>
      <c r="S30" s="7">
        <f>S7</f>
        <v>1.2993222718768751</v>
      </c>
      <c r="T30" s="7">
        <f>T7</f>
        <v>-0.928926423330525</v>
      </c>
      <c r="U30" s="7">
        <f>U7</f>
        <v>-2.308954433275233</v>
      </c>
      <c r="V30" s="7">
        <f>V18</f>
        <v>-12.741340250316959</v>
      </c>
      <c r="W30" s="7">
        <f>W18</f>
        <v>-13.52704920504314</v>
      </c>
      <c r="Z30" s="4" t="s">
        <v>17</v>
      </c>
      <c r="AA30" s="3" t="s">
        <v>0</v>
      </c>
      <c r="AB30" s="7">
        <f>AB7</f>
        <v>1.2993222718768751</v>
      </c>
      <c r="AC30" s="7">
        <f>AC7</f>
        <v>-0.928926423330525</v>
      </c>
      <c r="AD30" s="7">
        <f>AD7</f>
        <v>-2.308954433275233</v>
      </c>
      <c r="AE30" s="7">
        <f>AE18</f>
        <v>-12.741340250316959</v>
      </c>
      <c r="AF30" s="7">
        <f>AF18</f>
        <v>-13.52704920504314</v>
      </c>
    </row>
    <row r="31" spans="9:32" x14ac:dyDescent="0.2">
      <c r="I31" t="s">
        <v>20</v>
      </c>
      <c r="J31">
        <f>J14+J25</f>
        <v>-1</v>
      </c>
      <c r="K31">
        <f>K14+K25</f>
        <v>-2</v>
      </c>
      <c r="L31">
        <f>L14+L25</f>
        <v>4</v>
      </c>
      <c r="M31">
        <f>M14+M25</f>
        <v>2</v>
      </c>
      <c r="N31">
        <f>N14+N25</f>
        <v>0</v>
      </c>
      <c r="R31" s="3" t="s">
        <v>1</v>
      </c>
      <c r="S31" s="7">
        <f>S6</f>
        <v>9.2283885320892729</v>
      </c>
      <c r="T31" s="7">
        <f>T6</f>
        <v>6.2953051937461506</v>
      </c>
      <c r="U31" s="7">
        <f>U6</f>
        <v>1.7470695687715461</v>
      </c>
      <c r="V31" s="7">
        <f>V17</f>
        <v>8.8390635602561609</v>
      </c>
      <c r="W31" s="7">
        <f>W17</f>
        <v>2.2025082499458879</v>
      </c>
      <c r="AA31" s="3" t="s">
        <v>1</v>
      </c>
      <c r="AB31" s="7">
        <f>AB6</f>
        <v>9.2283885320892729</v>
      </c>
      <c r="AC31" s="7">
        <f>AC6</f>
        <v>6.2953051937461506</v>
      </c>
      <c r="AD31" s="7">
        <f>AD6</f>
        <v>1.7470695687715461</v>
      </c>
      <c r="AE31" s="7">
        <f>AE17</f>
        <v>8.8390635602561609</v>
      </c>
      <c r="AF31" s="7">
        <f>AF17</f>
        <v>2.2025082499458879</v>
      </c>
    </row>
    <row r="32" spans="9:32" x14ac:dyDescent="0.2">
      <c r="I32" s="3" t="s">
        <v>0</v>
      </c>
      <c r="J32">
        <f>J30+J9</f>
        <v>-4</v>
      </c>
      <c r="K32">
        <f>K30+K9</f>
        <v>-4</v>
      </c>
      <c r="L32">
        <f>L30+L9</f>
        <v>-1</v>
      </c>
      <c r="M32">
        <f>M30+M9</f>
        <v>-4</v>
      </c>
      <c r="N32">
        <f>N30+N9</f>
        <v>-4</v>
      </c>
      <c r="Q32" s="2" t="s">
        <v>30</v>
      </c>
      <c r="R32" s="3" t="s">
        <v>0</v>
      </c>
      <c r="S32" s="7">
        <f>S30+S28</f>
        <v>1.527431103211383</v>
      </c>
      <c r="T32" s="7">
        <f t="shared" ref="T32:W33" si="22">T30+T28</f>
        <v>-0.59157513813513773</v>
      </c>
      <c r="U32" s="7">
        <f t="shared" si="22"/>
        <v>-1.7675155648279228</v>
      </c>
      <c r="V32" s="7">
        <f t="shared" si="22"/>
        <v>-12.64463453707201</v>
      </c>
      <c r="W32" s="7">
        <f t="shared" si="22"/>
        <v>-13.43752105389731</v>
      </c>
      <c r="Z32" s="2" t="s">
        <v>30</v>
      </c>
      <c r="AA32" s="3" t="s">
        <v>0</v>
      </c>
      <c r="AB32" s="7">
        <f>AB30+AB28</f>
        <v>1.527431103211383</v>
      </c>
      <c r="AC32" s="7">
        <f t="shared" ref="AC32:AF32" si="23">AC30+AC28</f>
        <v>-0.59157513813513773</v>
      </c>
      <c r="AD32" s="7">
        <f t="shared" si="23"/>
        <v>-1.7675155648279228</v>
      </c>
      <c r="AE32" s="7">
        <f t="shared" si="23"/>
        <v>-12.64463453707201</v>
      </c>
      <c r="AF32" s="7">
        <f t="shared" si="23"/>
        <v>-13.43752105389731</v>
      </c>
    </row>
    <row r="33" spans="9:34" x14ac:dyDescent="0.2">
      <c r="I33" s="3" t="s">
        <v>1</v>
      </c>
      <c r="J33">
        <f>J31+J10</f>
        <v>2</v>
      </c>
      <c r="K33">
        <f>K31+K10</f>
        <v>0</v>
      </c>
      <c r="L33">
        <f>L31+L10</f>
        <v>7</v>
      </c>
      <c r="M33">
        <f>M31+M10</f>
        <v>5</v>
      </c>
      <c r="N33">
        <f>N31+N10</f>
        <v>1</v>
      </c>
      <c r="R33" s="3" t="s">
        <v>1</v>
      </c>
      <c r="S33" s="7">
        <f>S31+S29</f>
        <v>8.9107538803326864</v>
      </c>
      <c r="T33" s="7">
        <f t="shared" si="22"/>
        <v>6.0034614184942754</v>
      </c>
      <c r="U33" s="7">
        <f t="shared" si="22"/>
        <v>1.6928457235281893</v>
      </c>
      <c r="V33" s="7">
        <f t="shared" si="22"/>
        <v>9.0414143484902798</v>
      </c>
      <c r="W33" s="7">
        <f t="shared" si="22"/>
        <v>2.3849448456302951</v>
      </c>
      <c r="AA33" s="3" t="s">
        <v>1</v>
      </c>
      <c r="AB33" s="7">
        <f>AB31+AB29</f>
        <v>8.9107538803326864</v>
      </c>
      <c r="AC33" s="7">
        <f t="shared" ref="AC33:AF33" si="24">AC31+AC29</f>
        <v>6.0034614184942754</v>
      </c>
      <c r="AD33" s="7">
        <f t="shared" si="24"/>
        <v>3.1872638212509994</v>
      </c>
      <c r="AE33" s="7">
        <f t="shared" si="24"/>
        <v>9.0414143484902798</v>
      </c>
      <c r="AF33" s="7">
        <f t="shared" si="24"/>
        <v>2.3849448456302951</v>
      </c>
    </row>
    <row r="35" spans="9:34" x14ac:dyDescent="0.2">
      <c r="I35" t="s">
        <v>17</v>
      </c>
      <c r="J35">
        <f>J10+0.5*$R$45*(J9-J10)^2</f>
        <v>6.52</v>
      </c>
      <c r="K35">
        <f>K10+0.5*$R$45*(K9-K10)^2</f>
        <v>5.52</v>
      </c>
      <c r="L35">
        <f>L10+0.5*$R$45*(L9-L10)^2</f>
        <v>5.6950000000000003</v>
      </c>
      <c r="M35">
        <f>M10+0.5*$R$45*(M9-M10)^2</f>
        <v>6.52</v>
      </c>
      <c r="N35">
        <f>N10+0.5*$R$45*(N9-N10)^2</f>
        <v>2.375</v>
      </c>
      <c r="O35">
        <f>SUM(J35:N35)</f>
        <v>26.63</v>
      </c>
      <c r="R35" t="s">
        <v>17</v>
      </c>
      <c r="S35">
        <f>S31+0.5*$R$45*(S31-S30)^2</f>
        <v>12.686243578825398</v>
      </c>
      <c r="T35">
        <f>T31+0.5*$R$45*(T31-T30)^2</f>
        <v>9.1657289288905162</v>
      </c>
      <c r="U35">
        <f>U31+0.5*$R$45*(U31-U30)^2</f>
        <v>2.6518927575564226</v>
      </c>
      <c r="V35">
        <f>V31+0.5*$R$45*(V31-V30)^2</f>
        <v>34.453324134763101</v>
      </c>
      <c r="W35">
        <f>W31+0.5*$R$45*(W31-W30)^2</f>
        <v>15.810552025084938</v>
      </c>
      <c r="X35">
        <f>SUM(S35:W35)</f>
        <v>74.767741425120363</v>
      </c>
      <c r="AA35" t="s">
        <v>17</v>
      </c>
      <c r="AB35">
        <f>AB31+0.5*$R$45*(AB31-AB30)^2</f>
        <v>12.686243578825398</v>
      </c>
      <c r="AC35">
        <f>AC31+0.5*$R$45*(AC31-AC30)^2</f>
        <v>9.1657289288905162</v>
      </c>
      <c r="AD35">
        <f>AD31+0.5*$R$45*(AD31-AD30)^2</f>
        <v>2.6518927575564226</v>
      </c>
      <c r="AE35">
        <f>AE31+0.5*$R$45*(AE31-AE30)^2</f>
        <v>34.453324134763101</v>
      </c>
      <c r="AF35">
        <f>AF31+0.5*$R$45*(AF31-AF30)^2</f>
        <v>15.810552025084938</v>
      </c>
      <c r="AG35">
        <f>SUM(AB35:AF35)</f>
        <v>74.767741425120363</v>
      </c>
      <c r="AH35" s="8">
        <f>NPV($R$46,AB35:AF35)</f>
        <v>52.885465479844811</v>
      </c>
    </row>
    <row r="36" spans="9:34" x14ac:dyDescent="0.2">
      <c r="I36" t="s">
        <v>23</v>
      </c>
      <c r="J36">
        <f>J16+0.5*$R$45*(J15-J16)^2</f>
        <v>3.98</v>
      </c>
      <c r="K36">
        <f>K16+0.5*$R$45*(K15-K16)^2</f>
        <v>0.88</v>
      </c>
      <c r="L36">
        <f>L16+0.5*$R$45*(L15-L16)^2</f>
        <v>4.9800000000000004</v>
      </c>
      <c r="M36">
        <f>M16+0.5*$R$45*(M15-M16)^2</f>
        <v>6.52</v>
      </c>
      <c r="N36">
        <f>N16+0.5*$R$45*(N15-N16)^2</f>
        <v>2.375</v>
      </c>
      <c r="O36">
        <f>SUM(J36:N36)</f>
        <v>18.734999999999999</v>
      </c>
      <c r="R36" t="s">
        <v>23</v>
      </c>
      <c r="S36">
        <f>S9+0.5*$R$45*(S9-S10)^2</f>
        <v>11.90899391804639</v>
      </c>
      <c r="T36">
        <f>T9+0.5*$R$45*(T9-T10)^2</f>
        <v>8.3956593135745834</v>
      </c>
      <c r="U36">
        <f>U9+0.5*$R$45*(U9-U10)^2</f>
        <v>2.137021475150636</v>
      </c>
      <c r="V36">
        <f>V9+0.5*$R$45*(V9-V10)^2</f>
        <v>34.453324134763101</v>
      </c>
      <c r="W36">
        <f>W9+0.5*$R$45*(W9-W10)^2</f>
        <v>15.810552025084938</v>
      </c>
      <c r="X36">
        <f>SUM(S36:W36)</f>
        <v>72.70555086661966</v>
      </c>
      <c r="AA36" t="s">
        <v>23</v>
      </c>
      <c r="AB36">
        <f>AB9+0.5*$R$45*(AB9-AB10)^2</f>
        <v>11.90899391804639</v>
      </c>
      <c r="AC36">
        <f>AC9+0.5*$R$45*(AC9-AC10)^2</f>
        <v>8.3956593135745834</v>
      </c>
      <c r="AD36">
        <f>AD9+0.5*$R$45*(AD9-AD10)^2</f>
        <v>4.3112627846951863</v>
      </c>
      <c r="AE36">
        <f>AE9+0.5*$R$45*(AE9-AE10)^2</f>
        <v>34.453324134763101</v>
      </c>
      <c r="AF36">
        <f>AF9+0.5*$R$45*(AF9-AF10)^2</f>
        <v>15.810552025084938</v>
      </c>
      <c r="AG36">
        <f>SUM(AB36:AF36)</f>
        <v>74.879792176164202</v>
      </c>
      <c r="AH36" s="8">
        <f t="shared" ref="AH36:AH38" si="25">NPV($R$46,AB36:AF36)</f>
        <v>52.773551847507044</v>
      </c>
    </row>
    <row r="37" spans="9:34" x14ac:dyDescent="0.2">
      <c r="I37" t="s">
        <v>24</v>
      </c>
      <c r="J37">
        <f>J27+0.5*$R$45*(J26-J27)^2</f>
        <v>6.52</v>
      </c>
      <c r="K37">
        <f>K27+0.5*$R$45*(K26-K27)^2</f>
        <v>5.52</v>
      </c>
      <c r="L37">
        <f>L27+0.5*$R$45*(L26-L27)^2</f>
        <v>11.455</v>
      </c>
      <c r="M37">
        <f>M27+0.5*$R$45*(M26-M27)^2</f>
        <v>9.4550000000000001</v>
      </c>
      <c r="N37">
        <f>N27+0.5*$R$45*(N26-N27)^2</f>
        <v>2.375</v>
      </c>
      <c r="O37">
        <f>SUM(J37:N37)</f>
        <v>35.324999999999996</v>
      </c>
      <c r="R37" t="s">
        <v>24</v>
      </c>
      <c r="S37">
        <f>S20+0.5*$R$45*(S20-S21)^2</f>
        <v>12.686243578825398</v>
      </c>
      <c r="T37">
        <f>T20+0.5*$R$45*(T20-T21)^2</f>
        <v>9.1657289288905162</v>
      </c>
      <c r="U37">
        <f>U20+0.5*$R$45*(U20-U21)^2</f>
        <v>29.281589233483849</v>
      </c>
      <c r="V37">
        <f>V20+0.5*$R$45*(V20-V21)^2</f>
        <v>34.90707374317514</v>
      </c>
      <c r="W37">
        <f>W20+0.5*$R$45*(W20-W21)^2</f>
        <v>16.15421833842456</v>
      </c>
      <c r="X37">
        <f>SUM(S37:W37)</f>
        <v>102.19485382279946</v>
      </c>
      <c r="AA37" t="s">
        <v>24</v>
      </c>
      <c r="AB37">
        <f>AB20+0.5*$R$45*(AB20-AB21)^2</f>
        <v>12.686243578825398</v>
      </c>
      <c r="AC37">
        <f>AC20+0.5*$R$45*(AC20-AC21)^2</f>
        <v>9.1657289288905162</v>
      </c>
      <c r="AD37">
        <f>AD20+0.5*$R$45*(AD20-AD21)^2</f>
        <v>29.281589233483849</v>
      </c>
      <c r="AE37">
        <f>AE20+0.5*$R$45*(AE20-AE21)^2</f>
        <v>34.90707374317514</v>
      </c>
      <c r="AF37">
        <f>AF20+0.5*$R$45*(AF20-AF21)^2</f>
        <v>16.15421833842456</v>
      </c>
      <c r="AG37">
        <f>SUM(AB37:AF37)</f>
        <v>102.19485382279946</v>
      </c>
      <c r="AH37" s="8">
        <f t="shared" si="25"/>
        <v>72.859718181330791</v>
      </c>
    </row>
    <row r="38" spans="9:34" x14ac:dyDescent="0.2">
      <c r="I38" t="s">
        <v>22</v>
      </c>
      <c r="J38">
        <f>J33+0.5*$R$45*(J32-J33)^2</f>
        <v>3.98</v>
      </c>
      <c r="K38">
        <f>K33+0.5*$R$45*(K32-K33)^2</f>
        <v>0.88</v>
      </c>
      <c r="L38">
        <f>L33+0.5*$R$45*(L32-L33)^2</f>
        <v>10.52</v>
      </c>
      <c r="M38">
        <f>M33+0.5*$R$45*(M32-M33)^2</f>
        <v>9.4550000000000001</v>
      </c>
      <c r="N38">
        <f>N33+0.5*$R$45*(N32-N33)^2</f>
        <v>2.375</v>
      </c>
      <c r="O38">
        <f>SUM(J38:N38)</f>
        <v>27.21</v>
      </c>
      <c r="R38" t="s">
        <v>22</v>
      </c>
      <c r="S38">
        <f>S33+0.5*$R$45*(S33-S32)^2</f>
        <v>11.90899391804639</v>
      </c>
      <c r="T38">
        <f>T33+0.5*$R$45*(T33-T32)^2</f>
        <v>8.3956593135745834</v>
      </c>
      <c r="U38">
        <f>U33+0.5*$R$45*(U33-U32)^2</f>
        <v>2.3514212370556358</v>
      </c>
      <c r="V38">
        <f>V33+0.5*$R$45*(V33-V32)^2</f>
        <v>34.90707374317514</v>
      </c>
      <c r="W38">
        <f>W33+0.5*$R$45*(W33-W32)^2</f>
        <v>16.15421833842456</v>
      </c>
      <c r="X38">
        <f t="shared" ref="X38" si="26">SUM(S38:W38)</f>
        <v>73.71736655027631</v>
      </c>
      <c r="AA38" t="s">
        <v>22</v>
      </c>
      <c r="AB38">
        <f>AB33+0.5*$R$45*(AB33-AB32)^2</f>
        <v>11.90899391804639</v>
      </c>
      <c r="AC38">
        <f>AC33+0.5*$R$45*(AC33-AC32)^2</f>
        <v>8.3956593135745834</v>
      </c>
      <c r="AD38">
        <f>AD33+0.5*$R$45*(AD33-AD32)^2</f>
        <v>4.5375049533101937</v>
      </c>
      <c r="AE38">
        <f>AE33+0.5*$R$45*(AE33-AE32)^2</f>
        <v>34.90707374317514</v>
      </c>
      <c r="AF38">
        <f>AF33+0.5*$R$45*(AF33-AF32)^2</f>
        <v>16.15421833842456</v>
      </c>
      <c r="AG38">
        <f t="shared" ref="AG38" si="27">SUM(AB38:AF38)</f>
        <v>75.903450266530868</v>
      </c>
      <c r="AH38" s="8">
        <f t="shared" si="25"/>
        <v>53.441826322912718</v>
      </c>
    </row>
    <row r="40" spans="9:34" x14ac:dyDescent="0.2">
      <c r="R40" t="s">
        <v>17</v>
      </c>
      <c r="S40">
        <f>S31+$R$45*(S31-S30)</f>
        <v>10.100585820712636</v>
      </c>
      <c r="T40">
        <f t="shared" ref="T40:W40" si="28">T31+$R$45*(T31-T30)</f>
        <v>7.0899706716245845</v>
      </c>
      <c r="U40">
        <f t="shared" si="28"/>
        <v>2.193232208996692</v>
      </c>
      <c r="V40">
        <f t="shared" si="28"/>
        <v>11.212907979419205</v>
      </c>
      <c r="W40">
        <f t="shared" si="28"/>
        <v>3.9327595699946807</v>
      </c>
      <c r="X40">
        <f>SUM(S40:W40)</f>
        <v>34.529456250747799</v>
      </c>
      <c r="AA40" t="s">
        <v>17</v>
      </c>
      <c r="AB40">
        <f>AB31+$R$45*(AB31-AB30)</f>
        <v>10.100585820712636</v>
      </c>
      <c r="AC40">
        <f t="shared" ref="AC40:AF40" si="29">AC31+$R$45*(AC31-AC30)</f>
        <v>7.0899706716245845</v>
      </c>
      <c r="AD40">
        <f t="shared" si="29"/>
        <v>2.193232208996692</v>
      </c>
      <c r="AE40">
        <f t="shared" si="29"/>
        <v>11.212907979419205</v>
      </c>
      <c r="AF40">
        <f t="shared" si="29"/>
        <v>3.9327595699946807</v>
      </c>
      <c r="AG40">
        <f>SUM(AB40:AF40)</f>
        <v>34.529456250747799</v>
      </c>
      <c r="AH40" s="8">
        <f>NPV($R$46,AB40:AF40)</f>
        <v>26.177869788079239</v>
      </c>
    </row>
    <row r="41" spans="9:34" x14ac:dyDescent="0.2">
      <c r="R41" t="s">
        <v>23</v>
      </c>
      <c r="S41">
        <f>S9+$R$45*(S9-S10)</f>
        <v>9.7229193858160308</v>
      </c>
      <c r="T41">
        <f>T9+$R$45*(T9-T10)</f>
        <v>6.7289154397235107</v>
      </c>
      <c r="U41">
        <f t="shared" ref="T41:W41" si="30">U9+$R$45*(U9-U10)</f>
        <v>1.8782972172726409</v>
      </c>
      <c r="V41">
        <f t="shared" si="30"/>
        <v>11.212907979419205</v>
      </c>
      <c r="W41">
        <f t="shared" si="30"/>
        <v>3.9327595699946807</v>
      </c>
      <c r="X41">
        <f t="shared" ref="X41:X43" si="31">SUM(S41:W41)</f>
        <v>33.475799592226068</v>
      </c>
      <c r="AA41" t="s">
        <v>23</v>
      </c>
      <c r="AB41">
        <f>AB9+$R$45*(AB9-AB10)</f>
        <v>9.7229193858160308</v>
      </c>
      <c r="AC41">
        <f>AC9+$R$45*(AC9-AC10)</f>
        <v>6.7289154397235107</v>
      </c>
      <c r="AD41">
        <f t="shared" ref="AD41:AG41" si="32">AD9+$R$45*(AD9-AD10)</f>
        <v>3.5371013057449598</v>
      </c>
      <c r="AE41">
        <f t="shared" si="32"/>
        <v>11.212907979419205</v>
      </c>
      <c r="AF41">
        <f t="shared" si="32"/>
        <v>3.9327595699946807</v>
      </c>
      <c r="AG41">
        <f t="shared" ref="AG41:AG43" si="33">SUM(AB41:AF41)</f>
        <v>35.13460368069839</v>
      </c>
      <c r="AH41" s="8">
        <f t="shared" ref="AH41:AH43" si="34">NPV($R$46,AB41:AF41)</f>
        <v>26.527214731928844</v>
      </c>
    </row>
    <row r="42" spans="9:34" x14ac:dyDescent="0.2">
      <c r="R42" t="s">
        <v>24</v>
      </c>
      <c r="S42">
        <f>S20+$R$45*(S20-S21)</f>
        <v>10.100585820712636</v>
      </c>
      <c r="T42">
        <f t="shared" ref="T42:W42" si="35">T20+$R$45*(T20-T21)</f>
        <v>7.0899706716245845</v>
      </c>
      <c r="U42">
        <f t="shared" si="35"/>
        <v>13.115214619404497</v>
      </c>
      <c r="V42">
        <f t="shared" si="35"/>
        <v>11.426879725902133</v>
      </c>
      <c r="W42">
        <f t="shared" si="35"/>
        <v>4.1254160945783314</v>
      </c>
      <c r="X42">
        <f t="shared" si="31"/>
        <v>45.858066932222187</v>
      </c>
      <c r="AA42" t="s">
        <v>24</v>
      </c>
      <c r="AB42">
        <f>AB20+$R$45*(AB20-AB21)</f>
        <v>10.100585820712636</v>
      </c>
      <c r="AC42">
        <f t="shared" ref="AC42:AF42" si="36">AC20+$R$45*(AC20-AC21)</f>
        <v>7.0899706716245845</v>
      </c>
      <c r="AD42">
        <f t="shared" si="36"/>
        <v>13.115214619404497</v>
      </c>
      <c r="AE42">
        <f t="shared" si="36"/>
        <v>11.426879725902133</v>
      </c>
      <c r="AF42">
        <f t="shared" si="36"/>
        <v>4.1254160945783314</v>
      </c>
      <c r="AG42">
        <f t="shared" si="33"/>
        <v>45.858066932222187</v>
      </c>
      <c r="AH42" s="8">
        <f t="shared" si="34"/>
        <v>34.419211280663525</v>
      </c>
    </row>
    <row r="43" spans="9:34" x14ac:dyDescent="0.2">
      <c r="R43" t="s">
        <v>22</v>
      </c>
      <c r="S43">
        <f>S33+$R$45*(S33-S32)</f>
        <v>9.7229193858160308</v>
      </c>
      <c r="T43">
        <f t="shared" ref="T43:W43" si="37">T33+$R$45*(T33-T32)</f>
        <v>6.7289154397235107</v>
      </c>
      <c r="U43">
        <f t="shared" si="37"/>
        <v>2.0734854652473618</v>
      </c>
      <c r="V43">
        <f t="shared" si="37"/>
        <v>11.426879725902133</v>
      </c>
      <c r="W43">
        <f t="shared" si="37"/>
        <v>4.1254160945783314</v>
      </c>
      <c r="X43">
        <f t="shared" si="31"/>
        <v>34.077616111267368</v>
      </c>
      <c r="AA43" t="s">
        <v>22</v>
      </c>
      <c r="AB43">
        <f>AB33+$R$45*(AB33-AB32)</f>
        <v>9.7229193858160308</v>
      </c>
      <c r="AC43">
        <f t="shared" ref="AC43:AF43" si="38">AC33+$R$45*(AC33-AC32)</f>
        <v>6.7289154397235107</v>
      </c>
      <c r="AD43">
        <f t="shared" si="38"/>
        <v>3.732289553719681</v>
      </c>
      <c r="AE43">
        <f t="shared" si="38"/>
        <v>11.426879725902133</v>
      </c>
      <c r="AF43">
        <f t="shared" si="38"/>
        <v>4.1254160945783314</v>
      </c>
      <c r="AG43">
        <f t="shared" si="33"/>
        <v>35.73642019973969</v>
      </c>
      <c r="AH43" s="8">
        <f t="shared" si="34"/>
        <v>26.925216783952706</v>
      </c>
    </row>
    <row r="45" spans="9:34" x14ac:dyDescent="0.2">
      <c r="Q45" t="s">
        <v>21</v>
      </c>
      <c r="R45">
        <v>0.11</v>
      </c>
    </row>
    <row r="46" spans="9:34" x14ac:dyDescent="0.2">
      <c r="Q46" t="s">
        <v>31</v>
      </c>
      <c r="R46">
        <v>0.11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Արթուր Գրիգորյան</dc:creator>
  <cp:lastModifiedBy>Victor Yerz</cp:lastModifiedBy>
  <dcterms:created xsi:type="dcterms:W3CDTF">2024-12-10T08:12:39Z</dcterms:created>
  <dcterms:modified xsi:type="dcterms:W3CDTF">2024-12-10T13:11:14Z</dcterms:modified>
</cp:coreProperties>
</file>